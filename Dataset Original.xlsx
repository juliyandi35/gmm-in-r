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Kerjaan\Research Consultant\Project GMM in R\"/>
    </mc:Choice>
  </mc:AlternateContent>
  <xr:revisionPtr revIDLastSave="0" documentId="13_ncr:1_{BACD4EF3-41E0-4189-8EA9-02FEBFF68C6D}" xr6:coauthVersionLast="47" xr6:coauthVersionMax="47" xr10:uidLastSave="{00000000-0000-0000-0000-000000000000}"/>
  <bookViews>
    <workbookView xWindow="-110" yWindow="-110" windowWidth="19420" windowHeight="10300" xr2:uid="{9072BAF3-FDED-7143-9B87-7584624203A9}"/>
  </bookViews>
  <sheets>
    <sheet name="COMBINE 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45" i="1" l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B2" i="1"/>
  <c r="Z2" i="1"/>
  <c r="X642" i="1"/>
  <c r="X641" i="1"/>
  <c r="X634" i="1"/>
  <c r="X633" i="1"/>
  <c r="X632" i="1"/>
  <c r="X626" i="1"/>
  <c r="X625" i="1"/>
  <c r="X620" i="1"/>
  <c r="X618" i="1"/>
  <c r="X617" i="1"/>
  <c r="X616" i="1"/>
  <c r="X610" i="1"/>
  <c r="X609" i="1"/>
  <c r="X602" i="1"/>
  <c r="X601" i="1"/>
  <c r="X600" i="1"/>
  <c r="X594" i="1"/>
  <c r="X593" i="1"/>
  <c r="X586" i="1"/>
  <c r="X585" i="1"/>
  <c r="X580" i="1"/>
  <c r="X578" i="1"/>
  <c r="X577" i="1"/>
  <c r="X570" i="1"/>
  <c r="X569" i="1"/>
  <c r="X564" i="1"/>
  <c r="X562" i="1"/>
  <c r="X561" i="1"/>
  <c r="X554" i="1"/>
  <c r="X553" i="1"/>
  <c r="X548" i="1"/>
  <c r="X546" i="1"/>
  <c r="X545" i="1"/>
  <c r="X538" i="1"/>
  <c r="X537" i="1"/>
  <c r="X532" i="1"/>
  <c r="X530" i="1"/>
  <c r="X529" i="1"/>
  <c r="X522" i="1"/>
  <c r="X521" i="1"/>
  <c r="X516" i="1"/>
  <c r="X514" i="1"/>
  <c r="X513" i="1"/>
  <c r="X506" i="1"/>
  <c r="X505" i="1"/>
  <c r="X500" i="1"/>
  <c r="X498" i="1"/>
  <c r="X497" i="1"/>
  <c r="X490" i="1"/>
  <c r="X489" i="1"/>
  <c r="X484" i="1"/>
  <c r="X482" i="1"/>
  <c r="X481" i="1"/>
  <c r="X474" i="1"/>
  <c r="X473" i="1"/>
  <c r="X468" i="1"/>
  <c r="X466" i="1"/>
  <c r="X465" i="1"/>
  <c r="X458" i="1"/>
  <c r="X457" i="1"/>
  <c r="X452" i="1"/>
  <c r="X450" i="1"/>
  <c r="X449" i="1"/>
  <c r="X442" i="1"/>
  <c r="X441" i="1"/>
  <c r="X436" i="1"/>
  <c r="X434" i="1"/>
  <c r="X433" i="1"/>
  <c r="X426" i="1"/>
  <c r="X425" i="1"/>
  <c r="X420" i="1"/>
  <c r="X418" i="1"/>
  <c r="X417" i="1"/>
  <c r="X410" i="1"/>
  <c r="X409" i="1"/>
  <c r="X404" i="1"/>
  <c r="X402" i="1"/>
  <c r="X401" i="1"/>
  <c r="X394" i="1"/>
  <c r="X393" i="1"/>
  <c r="X388" i="1"/>
  <c r="X386" i="1"/>
  <c r="X385" i="1"/>
  <c r="X378" i="1"/>
  <c r="X377" i="1"/>
  <c r="X372" i="1"/>
  <c r="X370" i="1"/>
  <c r="X369" i="1"/>
  <c r="X362" i="1"/>
  <c r="X361" i="1"/>
  <c r="X356" i="1"/>
  <c r="X354" i="1"/>
  <c r="X353" i="1"/>
  <c r="X346" i="1"/>
  <c r="X345" i="1"/>
  <c r="X340" i="1"/>
  <c r="X338" i="1"/>
  <c r="X337" i="1"/>
  <c r="X330" i="1"/>
  <c r="X329" i="1"/>
  <c r="X324" i="1"/>
  <c r="X322" i="1"/>
  <c r="X321" i="1"/>
  <c r="X314" i="1"/>
  <c r="X313" i="1"/>
  <c r="X308" i="1"/>
  <c r="X306" i="1"/>
  <c r="X305" i="1"/>
  <c r="X298" i="1"/>
  <c r="X297" i="1"/>
  <c r="X292" i="1"/>
  <c r="X290" i="1"/>
  <c r="X289" i="1"/>
  <c r="X282" i="1"/>
  <c r="X281" i="1"/>
  <c r="X276" i="1"/>
  <c r="X274" i="1"/>
  <c r="X273" i="1"/>
  <c r="X266" i="1"/>
  <c r="X265" i="1"/>
  <c r="X260" i="1"/>
  <c r="X258" i="1"/>
  <c r="X257" i="1"/>
  <c r="X250" i="1"/>
  <c r="X249" i="1"/>
  <c r="X244" i="1"/>
  <c r="X242" i="1"/>
  <c r="X241" i="1"/>
  <c r="X234" i="1"/>
  <c r="X233" i="1"/>
  <c r="X228" i="1"/>
  <c r="X226" i="1"/>
  <c r="X225" i="1"/>
  <c r="X218" i="1"/>
  <c r="X217" i="1"/>
  <c r="X212" i="1"/>
  <c r="X210" i="1"/>
  <c r="X209" i="1"/>
  <c r="X202" i="1"/>
  <c r="X201" i="1"/>
  <c r="X196" i="1"/>
  <c r="X194" i="1"/>
  <c r="X193" i="1"/>
  <c r="X186" i="1"/>
  <c r="X185" i="1"/>
  <c r="X180" i="1"/>
  <c r="X178" i="1"/>
  <c r="X177" i="1"/>
  <c r="X170" i="1"/>
  <c r="X169" i="1"/>
  <c r="X164" i="1"/>
  <c r="X162" i="1"/>
  <c r="X161" i="1"/>
  <c r="X154" i="1"/>
  <c r="X153" i="1"/>
  <c r="X148" i="1"/>
  <c r="X146" i="1"/>
  <c r="X145" i="1"/>
  <c r="X138" i="1"/>
  <c r="X137" i="1"/>
  <c r="X132" i="1"/>
  <c r="X130" i="1"/>
  <c r="X129" i="1"/>
  <c r="X122" i="1"/>
  <c r="X121" i="1"/>
  <c r="X116" i="1"/>
  <c r="X114" i="1"/>
  <c r="X113" i="1"/>
  <c r="X106" i="1"/>
  <c r="X105" i="1"/>
  <c r="X100" i="1"/>
  <c r="X98" i="1"/>
  <c r="X97" i="1"/>
  <c r="X90" i="1"/>
  <c r="X89" i="1"/>
  <c r="X84" i="1"/>
  <c r="X82" i="1"/>
  <c r="X81" i="1"/>
  <c r="X74" i="1"/>
  <c r="X73" i="1"/>
  <c r="X68" i="1"/>
  <c r="X66" i="1"/>
  <c r="X65" i="1"/>
  <c r="X58" i="1"/>
  <c r="X57" i="1"/>
  <c r="X52" i="1"/>
  <c r="X50" i="1"/>
  <c r="X49" i="1"/>
  <c r="X42" i="1"/>
  <c r="X41" i="1"/>
  <c r="X36" i="1"/>
  <c r="X34" i="1"/>
  <c r="X33" i="1"/>
  <c r="X26" i="1"/>
  <c r="X25" i="1"/>
  <c r="X20" i="1"/>
  <c r="X18" i="1"/>
  <c r="X17" i="1"/>
  <c r="X10" i="1"/>
  <c r="X9" i="1"/>
  <c r="X4" i="1"/>
  <c r="X2" i="1"/>
  <c r="V645" i="1"/>
  <c r="X645" i="1" s="1"/>
  <c r="V644" i="1"/>
  <c r="X644" i="1" s="1"/>
  <c r="V643" i="1"/>
  <c r="X643" i="1" s="1"/>
  <c r="V642" i="1"/>
  <c r="V641" i="1"/>
  <c r="V640" i="1"/>
  <c r="X640" i="1" s="1"/>
  <c r="V639" i="1"/>
  <c r="X639" i="1" s="1"/>
  <c r="V638" i="1"/>
  <c r="X638" i="1" s="1"/>
  <c r="V637" i="1"/>
  <c r="X637" i="1" s="1"/>
  <c r="V636" i="1"/>
  <c r="X636" i="1" s="1"/>
  <c r="V635" i="1"/>
  <c r="X635" i="1" s="1"/>
  <c r="V634" i="1"/>
  <c r="V633" i="1"/>
  <c r="V632" i="1"/>
  <c r="V631" i="1"/>
  <c r="X631" i="1" s="1"/>
  <c r="V630" i="1"/>
  <c r="X630" i="1" s="1"/>
  <c r="V629" i="1"/>
  <c r="X629" i="1" s="1"/>
  <c r="V628" i="1"/>
  <c r="X628" i="1" s="1"/>
  <c r="V627" i="1"/>
  <c r="X627" i="1" s="1"/>
  <c r="V626" i="1"/>
  <c r="V625" i="1"/>
  <c r="V624" i="1"/>
  <c r="X624" i="1" s="1"/>
  <c r="V623" i="1"/>
  <c r="X623" i="1" s="1"/>
  <c r="V622" i="1"/>
  <c r="X622" i="1" s="1"/>
  <c r="V621" i="1"/>
  <c r="X621" i="1" s="1"/>
  <c r="V620" i="1"/>
  <c r="V619" i="1"/>
  <c r="X619" i="1" s="1"/>
  <c r="V618" i="1"/>
  <c r="V617" i="1"/>
  <c r="V616" i="1"/>
  <c r="V615" i="1"/>
  <c r="X615" i="1" s="1"/>
  <c r="V614" i="1"/>
  <c r="X614" i="1" s="1"/>
  <c r="V613" i="1"/>
  <c r="X613" i="1" s="1"/>
  <c r="V612" i="1"/>
  <c r="X612" i="1" s="1"/>
  <c r="V611" i="1"/>
  <c r="X611" i="1" s="1"/>
  <c r="V610" i="1"/>
  <c r="V609" i="1"/>
  <c r="V608" i="1"/>
  <c r="X608" i="1" s="1"/>
  <c r="V607" i="1"/>
  <c r="X607" i="1" s="1"/>
  <c r="V606" i="1"/>
  <c r="X606" i="1" s="1"/>
  <c r="V605" i="1"/>
  <c r="X605" i="1" s="1"/>
  <c r="V604" i="1"/>
  <c r="X604" i="1" s="1"/>
  <c r="V603" i="1"/>
  <c r="X603" i="1" s="1"/>
  <c r="V602" i="1"/>
  <c r="V601" i="1"/>
  <c r="V600" i="1"/>
  <c r="V599" i="1"/>
  <c r="X599" i="1" s="1"/>
  <c r="V598" i="1"/>
  <c r="X598" i="1" s="1"/>
  <c r="V597" i="1"/>
  <c r="X597" i="1" s="1"/>
  <c r="V596" i="1"/>
  <c r="X596" i="1" s="1"/>
  <c r="V595" i="1"/>
  <c r="X595" i="1" s="1"/>
  <c r="V594" i="1"/>
  <c r="V593" i="1"/>
  <c r="V592" i="1"/>
  <c r="X592" i="1" s="1"/>
  <c r="V591" i="1"/>
  <c r="X591" i="1" s="1"/>
  <c r="V590" i="1"/>
  <c r="X590" i="1" s="1"/>
  <c r="V589" i="1"/>
  <c r="X589" i="1" s="1"/>
  <c r="V588" i="1"/>
  <c r="X588" i="1" s="1"/>
  <c r="V587" i="1"/>
  <c r="X587" i="1" s="1"/>
  <c r="V586" i="1"/>
  <c r="V585" i="1"/>
  <c r="V584" i="1"/>
  <c r="X584" i="1" s="1"/>
  <c r="V583" i="1"/>
  <c r="X583" i="1" s="1"/>
  <c r="V582" i="1"/>
  <c r="X582" i="1" s="1"/>
  <c r="V581" i="1"/>
  <c r="X581" i="1" s="1"/>
  <c r="V580" i="1"/>
  <c r="V579" i="1"/>
  <c r="X579" i="1" s="1"/>
  <c r="V578" i="1"/>
  <c r="V577" i="1"/>
  <c r="V576" i="1"/>
  <c r="X576" i="1" s="1"/>
  <c r="V575" i="1"/>
  <c r="X575" i="1" s="1"/>
  <c r="V574" i="1"/>
  <c r="X574" i="1" s="1"/>
  <c r="V573" i="1"/>
  <c r="X573" i="1" s="1"/>
  <c r="V572" i="1"/>
  <c r="X572" i="1" s="1"/>
  <c r="V571" i="1"/>
  <c r="X571" i="1" s="1"/>
  <c r="V570" i="1"/>
  <c r="V569" i="1"/>
  <c r="V568" i="1"/>
  <c r="X568" i="1" s="1"/>
  <c r="V567" i="1"/>
  <c r="X567" i="1" s="1"/>
  <c r="V566" i="1"/>
  <c r="X566" i="1" s="1"/>
  <c r="V565" i="1"/>
  <c r="X565" i="1" s="1"/>
  <c r="V564" i="1"/>
  <c r="V563" i="1"/>
  <c r="X563" i="1" s="1"/>
  <c r="V562" i="1"/>
  <c r="V561" i="1"/>
  <c r="V560" i="1"/>
  <c r="X560" i="1" s="1"/>
  <c r="V559" i="1"/>
  <c r="X559" i="1" s="1"/>
  <c r="V558" i="1"/>
  <c r="X558" i="1" s="1"/>
  <c r="V557" i="1"/>
  <c r="X557" i="1" s="1"/>
  <c r="V556" i="1"/>
  <c r="X556" i="1" s="1"/>
  <c r="V555" i="1"/>
  <c r="X555" i="1" s="1"/>
  <c r="V554" i="1"/>
  <c r="V553" i="1"/>
  <c r="V552" i="1"/>
  <c r="X552" i="1" s="1"/>
  <c r="V551" i="1"/>
  <c r="X551" i="1" s="1"/>
  <c r="V550" i="1"/>
  <c r="X550" i="1" s="1"/>
  <c r="V549" i="1"/>
  <c r="X549" i="1" s="1"/>
  <c r="V548" i="1"/>
  <c r="V547" i="1"/>
  <c r="X547" i="1" s="1"/>
  <c r="V546" i="1"/>
  <c r="V545" i="1"/>
  <c r="V544" i="1"/>
  <c r="X544" i="1" s="1"/>
  <c r="V543" i="1"/>
  <c r="X543" i="1" s="1"/>
  <c r="V542" i="1"/>
  <c r="X542" i="1" s="1"/>
  <c r="V541" i="1"/>
  <c r="X541" i="1" s="1"/>
  <c r="V540" i="1"/>
  <c r="X540" i="1" s="1"/>
  <c r="V539" i="1"/>
  <c r="X539" i="1" s="1"/>
  <c r="V538" i="1"/>
  <c r="V537" i="1"/>
  <c r="V536" i="1"/>
  <c r="X536" i="1" s="1"/>
  <c r="V535" i="1"/>
  <c r="X535" i="1" s="1"/>
  <c r="V534" i="1"/>
  <c r="X534" i="1" s="1"/>
  <c r="V533" i="1"/>
  <c r="X533" i="1" s="1"/>
  <c r="V532" i="1"/>
  <c r="V531" i="1"/>
  <c r="X531" i="1" s="1"/>
  <c r="V530" i="1"/>
  <c r="V529" i="1"/>
  <c r="V528" i="1"/>
  <c r="X528" i="1" s="1"/>
  <c r="V527" i="1"/>
  <c r="X527" i="1" s="1"/>
  <c r="V526" i="1"/>
  <c r="X526" i="1" s="1"/>
  <c r="V525" i="1"/>
  <c r="X525" i="1" s="1"/>
  <c r="V524" i="1"/>
  <c r="X524" i="1" s="1"/>
  <c r="V523" i="1"/>
  <c r="X523" i="1" s="1"/>
  <c r="V522" i="1"/>
  <c r="V521" i="1"/>
  <c r="V520" i="1"/>
  <c r="X520" i="1" s="1"/>
  <c r="V519" i="1"/>
  <c r="X519" i="1" s="1"/>
  <c r="V518" i="1"/>
  <c r="X518" i="1" s="1"/>
  <c r="V517" i="1"/>
  <c r="X517" i="1" s="1"/>
  <c r="V516" i="1"/>
  <c r="V515" i="1"/>
  <c r="X515" i="1" s="1"/>
  <c r="V514" i="1"/>
  <c r="V513" i="1"/>
  <c r="V512" i="1"/>
  <c r="X512" i="1" s="1"/>
  <c r="V511" i="1"/>
  <c r="X511" i="1" s="1"/>
  <c r="V510" i="1"/>
  <c r="X510" i="1" s="1"/>
  <c r="V509" i="1"/>
  <c r="X509" i="1" s="1"/>
  <c r="V508" i="1"/>
  <c r="X508" i="1" s="1"/>
  <c r="V507" i="1"/>
  <c r="X507" i="1" s="1"/>
  <c r="V506" i="1"/>
  <c r="V505" i="1"/>
  <c r="V504" i="1"/>
  <c r="X504" i="1" s="1"/>
  <c r="V503" i="1"/>
  <c r="X503" i="1" s="1"/>
  <c r="V502" i="1"/>
  <c r="X502" i="1" s="1"/>
  <c r="V501" i="1"/>
  <c r="X501" i="1" s="1"/>
  <c r="V500" i="1"/>
  <c r="V499" i="1"/>
  <c r="X499" i="1" s="1"/>
  <c r="V498" i="1"/>
  <c r="V497" i="1"/>
  <c r="V496" i="1"/>
  <c r="X496" i="1" s="1"/>
  <c r="V495" i="1"/>
  <c r="X495" i="1" s="1"/>
  <c r="V494" i="1"/>
  <c r="X494" i="1" s="1"/>
  <c r="V493" i="1"/>
  <c r="X493" i="1" s="1"/>
  <c r="V492" i="1"/>
  <c r="X492" i="1" s="1"/>
  <c r="V491" i="1"/>
  <c r="X491" i="1" s="1"/>
  <c r="V490" i="1"/>
  <c r="V489" i="1"/>
  <c r="V488" i="1"/>
  <c r="X488" i="1" s="1"/>
  <c r="V487" i="1"/>
  <c r="X487" i="1" s="1"/>
  <c r="V486" i="1"/>
  <c r="X486" i="1" s="1"/>
  <c r="V485" i="1"/>
  <c r="X485" i="1" s="1"/>
  <c r="V484" i="1"/>
  <c r="V483" i="1"/>
  <c r="X483" i="1" s="1"/>
  <c r="V482" i="1"/>
  <c r="V481" i="1"/>
  <c r="V480" i="1"/>
  <c r="X480" i="1" s="1"/>
  <c r="V479" i="1"/>
  <c r="X479" i="1" s="1"/>
  <c r="V478" i="1"/>
  <c r="X478" i="1" s="1"/>
  <c r="V477" i="1"/>
  <c r="X477" i="1" s="1"/>
  <c r="V476" i="1"/>
  <c r="X476" i="1" s="1"/>
  <c r="V475" i="1"/>
  <c r="X475" i="1" s="1"/>
  <c r="V474" i="1"/>
  <c r="V473" i="1"/>
  <c r="V472" i="1"/>
  <c r="X472" i="1" s="1"/>
  <c r="V471" i="1"/>
  <c r="X471" i="1" s="1"/>
  <c r="V470" i="1"/>
  <c r="X470" i="1" s="1"/>
  <c r="V469" i="1"/>
  <c r="X469" i="1" s="1"/>
  <c r="V468" i="1"/>
  <c r="V467" i="1"/>
  <c r="X467" i="1" s="1"/>
  <c r="V466" i="1"/>
  <c r="V465" i="1"/>
  <c r="V464" i="1"/>
  <c r="X464" i="1" s="1"/>
  <c r="V463" i="1"/>
  <c r="X463" i="1" s="1"/>
  <c r="V462" i="1"/>
  <c r="X462" i="1" s="1"/>
  <c r="V461" i="1"/>
  <c r="X461" i="1" s="1"/>
  <c r="V460" i="1"/>
  <c r="X460" i="1" s="1"/>
  <c r="V459" i="1"/>
  <c r="X459" i="1" s="1"/>
  <c r="V458" i="1"/>
  <c r="V457" i="1"/>
  <c r="V456" i="1"/>
  <c r="X456" i="1" s="1"/>
  <c r="V455" i="1"/>
  <c r="X455" i="1" s="1"/>
  <c r="V454" i="1"/>
  <c r="X454" i="1" s="1"/>
  <c r="V453" i="1"/>
  <c r="X453" i="1" s="1"/>
  <c r="V452" i="1"/>
  <c r="V451" i="1"/>
  <c r="X451" i="1" s="1"/>
  <c r="V450" i="1"/>
  <c r="V449" i="1"/>
  <c r="V448" i="1"/>
  <c r="X448" i="1" s="1"/>
  <c r="V447" i="1"/>
  <c r="X447" i="1" s="1"/>
  <c r="V446" i="1"/>
  <c r="X446" i="1" s="1"/>
  <c r="V445" i="1"/>
  <c r="X445" i="1" s="1"/>
  <c r="V444" i="1"/>
  <c r="X444" i="1" s="1"/>
  <c r="V443" i="1"/>
  <c r="X443" i="1" s="1"/>
  <c r="V442" i="1"/>
  <c r="V441" i="1"/>
  <c r="V440" i="1"/>
  <c r="X440" i="1" s="1"/>
  <c r="V439" i="1"/>
  <c r="X439" i="1" s="1"/>
  <c r="V438" i="1"/>
  <c r="X438" i="1" s="1"/>
  <c r="V437" i="1"/>
  <c r="X437" i="1" s="1"/>
  <c r="V436" i="1"/>
  <c r="V435" i="1"/>
  <c r="X435" i="1" s="1"/>
  <c r="V434" i="1"/>
  <c r="V433" i="1"/>
  <c r="V432" i="1"/>
  <c r="X432" i="1" s="1"/>
  <c r="V431" i="1"/>
  <c r="X431" i="1" s="1"/>
  <c r="V430" i="1"/>
  <c r="X430" i="1" s="1"/>
  <c r="V429" i="1"/>
  <c r="X429" i="1" s="1"/>
  <c r="V428" i="1"/>
  <c r="X428" i="1" s="1"/>
  <c r="V427" i="1"/>
  <c r="X427" i="1" s="1"/>
  <c r="V426" i="1"/>
  <c r="V425" i="1"/>
  <c r="V424" i="1"/>
  <c r="X424" i="1" s="1"/>
  <c r="V423" i="1"/>
  <c r="X423" i="1" s="1"/>
  <c r="V422" i="1"/>
  <c r="X422" i="1" s="1"/>
  <c r="V421" i="1"/>
  <c r="X421" i="1" s="1"/>
  <c r="V420" i="1"/>
  <c r="V419" i="1"/>
  <c r="X419" i="1" s="1"/>
  <c r="V418" i="1"/>
  <c r="V417" i="1"/>
  <c r="V416" i="1"/>
  <c r="X416" i="1" s="1"/>
  <c r="V415" i="1"/>
  <c r="X415" i="1" s="1"/>
  <c r="V414" i="1"/>
  <c r="X414" i="1" s="1"/>
  <c r="V413" i="1"/>
  <c r="X413" i="1" s="1"/>
  <c r="V412" i="1"/>
  <c r="X412" i="1" s="1"/>
  <c r="V411" i="1"/>
  <c r="X411" i="1" s="1"/>
  <c r="V410" i="1"/>
  <c r="V409" i="1"/>
  <c r="V408" i="1"/>
  <c r="X408" i="1" s="1"/>
  <c r="V407" i="1"/>
  <c r="X407" i="1" s="1"/>
  <c r="V406" i="1"/>
  <c r="X406" i="1" s="1"/>
  <c r="V405" i="1"/>
  <c r="X405" i="1" s="1"/>
  <c r="V404" i="1"/>
  <c r="V403" i="1"/>
  <c r="X403" i="1" s="1"/>
  <c r="V402" i="1"/>
  <c r="V401" i="1"/>
  <c r="V400" i="1"/>
  <c r="X400" i="1" s="1"/>
  <c r="V399" i="1"/>
  <c r="X399" i="1" s="1"/>
  <c r="V398" i="1"/>
  <c r="X398" i="1" s="1"/>
  <c r="V397" i="1"/>
  <c r="X397" i="1" s="1"/>
  <c r="V396" i="1"/>
  <c r="X396" i="1" s="1"/>
  <c r="V395" i="1"/>
  <c r="X395" i="1" s="1"/>
  <c r="V394" i="1"/>
  <c r="V393" i="1"/>
  <c r="V392" i="1"/>
  <c r="X392" i="1" s="1"/>
  <c r="V391" i="1"/>
  <c r="X391" i="1" s="1"/>
  <c r="V390" i="1"/>
  <c r="X390" i="1" s="1"/>
  <c r="V389" i="1"/>
  <c r="X389" i="1" s="1"/>
  <c r="V388" i="1"/>
  <c r="V387" i="1"/>
  <c r="X387" i="1" s="1"/>
  <c r="V386" i="1"/>
  <c r="V385" i="1"/>
  <c r="V384" i="1"/>
  <c r="X384" i="1" s="1"/>
  <c r="V383" i="1"/>
  <c r="X383" i="1" s="1"/>
  <c r="V382" i="1"/>
  <c r="X382" i="1" s="1"/>
  <c r="V381" i="1"/>
  <c r="X381" i="1" s="1"/>
  <c r="V380" i="1"/>
  <c r="X380" i="1" s="1"/>
  <c r="V379" i="1"/>
  <c r="X379" i="1" s="1"/>
  <c r="V378" i="1"/>
  <c r="V377" i="1"/>
  <c r="V376" i="1"/>
  <c r="X376" i="1" s="1"/>
  <c r="V375" i="1"/>
  <c r="X375" i="1" s="1"/>
  <c r="V374" i="1"/>
  <c r="X374" i="1" s="1"/>
  <c r="V373" i="1"/>
  <c r="X373" i="1" s="1"/>
  <c r="V372" i="1"/>
  <c r="V371" i="1"/>
  <c r="X371" i="1" s="1"/>
  <c r="V370" i="1"/>
  <c r="V369" i="1"/>
  <c r="V368" i="1"/>
  <c r="X368" i="1" s="1"/>
  <c r="V367" i="1"/>
  <c r="X367" i="1" s="1"/>
  <c r="V366" i="1"/>
  <c r="X366" i="1" s="1"/>
  <c r="V365" i="1"/>
  <c r="X365" i="1" s="1"/>
  <c r="V364" i="1"/>
  <c r="X364" i="1" s="1"/>
  <c r="V363" i="1"/>
  <c r="X363" i="1" s="1"/>
  <c r="V362" i="1"/>
  <c r="V361" i="1"/>
  <c r="V360" i="1"/>
  <c r="X360" i="1" s="1"/>
  <c r="V359" i="1"/>
  <c r="X359" i="1" s="1"/>
  <c r="V358" i="1"/>
  <c r="X358" i="1" s="1"/>
  <c r="V357" i="1"/>
  <c r="X357" i="1" s="1"/>
  <c r="V356" i="1"/>
  <c r="V355" i="1"/>
  <c r="X355" i="1" s="1"/>
  <c r="V354" i="1"/>
  <c r="V353" i="1"/>
  <c r="V352" i="1"/>
  <c r="X352" i="1" s="1"/>
  <c r="V351" i="1"/>
  <c r="X351" i="1" s="1"/>
  <c r="V350" i="1"/>
  <c r="X350" i="1" s="1"/>
  <c r="V349" i="1"/>
  <c r="X349" i="1" s="1"/>
  <c r="V348" i="1"/>
  <c r="X348" i="1" s="1"/>
  <c r="V347" i="1"/>
  <c r="X347" i="1" s="1"/>
  <c r="V346" i="1"/>
  <c r="V345" i="1"/>
  <c r="V344" i="1"/>
  <c r="X344" i="1" s="1"/>
  <c r="V343" i="1"/>
  <c r="X343" i="1" s="1"/>
  <c r="V342" i="1"/>
  <c r="X342" i="1" s="1"/>
  <c r="V341" i="1"/>
  <c r="X341" i="1" s="1"/>
  <c r="V340" i="1"/>
  <c r="V339" i="1"/>
  <c r="X339" i="1" s="1"/>
  <c r="V338" i="1"/>
  <c r="V337" i="1"/>
  <c r="V336" i="1"/>
  <c r="X336" i="1" s="1"/>
  <c r="V335" i="1"/>
  <c r="X335" i="1" s="1"/>
  <c r="V334" i="1"/>
  <c r="X334" i="1" s="1"/>
  <c r="V333" i="1"/>
  <c r="X333" i="1" s="1"/>
  <c r="V332" i="1"/>
  <c r="X332" i="1" s="1"/>
  <c r="V331" i="1"/>
  <c r="X331" i="1" s="1"/>
  <c r="V330" i="1"/>
  <c r="V329" i="1"/>
  <c r="V328" i="1"/>
  <c r="X328" i="1" s="1"/>
  <c r="V327" i="1"/>
  <c r="X327" i="1" s="1"/>
  <c r="V326" i="1"/>
  <c r="X326" i="1" s="1"/>
  <c r="V325" i="1"/>
  <c r="X325" i="1" s="1"/>
  <c r="V324" i="1"/>
  <c r="V323" i="1"/>
  <c r="X323" i="1" s="1"/>
  <c r="V322" i="1"/>
  <c r="V321" i="1"/>
  <c r="V320" i="1"/>
  <c r="X320" i="1" s="1"/>
  <c r="V319" i="1"/>
  <c r="X319" i="1" s="1"/>
  <c r="V318" i="1"/>
  <c r="X318" i="1" s="1"/>
  <c r="V317" i="1"/>
  <c r="X317" i="1" s="1"/>
  <c r="V316" i="1"/>
  <c r="X316" i="1" s="1"/>
  <c r="V315" i="1"/>
  <c r="X315" i="1" s="1"/>
  <c r="V314" i="1"/>
  <c r="V313" i="1"/>
  <c r="V312" i="1"/>
  <c r="X312" i="1" s="1"/>
  <c r="V311" i="1"/>
  <c r="X311" i="1" s="1"/>
  <c r="V310" i="1"/>
  <c r="X310" i="1" s="1"/>
  <c r="V309" i="1"/>
  <c r="X309" i="1" s="1"/>
  <c r="V308" i="1"/>
  <c r="V307" i="1"/>
  <c r="X307" i="1" s="1"/>
  <c r="V306" i="1"/>
  <c r="V305" i="1"/>
  <c r="V304" i="1"/>
  <c r="X304" i="1" s="1"/>
  <c r="V303" i="1"/>
  <c r="X303" i="1" s="1"/>
  <c r="V302" i="1"/>
  <c r="X302" i="1" s="1"/>
  <c r="V301" i="1"/>
  <c r="X301" i="1" s="1"/>
  <c r="V300" i="1"/>
  <c r="X300" i="1" s="1"/>
  <c r="V299" i="1"/>
  <c r="X299" i="1" s="1"/>
  <c r="V298" i="1"/>
  <c r="V297" i="1"/>
  <c r="V296" i="1"/>
  <c r="X296" i="1" s="1"/>
  <c r="V295" i="1"/>
  <c r="X295" i="1" s="1"/>
  <c r="V294" i="1"/>
  <c r="X294" i="1" s="1"/>
  <c r="V293" i="1"/>
  <c r="X293" i="1" s="1"/>
  <c r="V292" i="1"/>
  <c r="V291" i="1"/>
  <c r="X291" i="1" s="1"/>
  <c r="V290" i="1"/>
  <c r="V289" i="1"/>
  <c r="V288" i="1"/>
  <c r="X288" i="1" s="1"/>
  <c r="V287" i="1"/>
  <c r="X287" i="1" s="1"/>
  <c r="V286" i="1"/>
  <c r="X286" i="1" s="1"/>
  <c r="V285" i="1"/>
  <c r="X285" i="1" s="1"/>
  <c r="V284" i="1"/>
  <c r="X284" i="1" s="1"/>
  <c r="V283" i="1"/>
  <c r="X283" i="1" s="1"/>
  <c r="V282" i="1"/>
  <c r="V281" i="1"/>
  <c r="V280" i="1"/>
  <c r="X280" i="1" s="1"/>
  <c r="V279" i="1"/>
  <c r="X279" i="1" s="1"/>
  <c r="V278" i="1"/>
  <c r="X278" i="1" s="1"/>
  <c r="V277" i="1"/>
  <c r="X277" i="1" s="1"/>
  <c r="V276" i="1"/>
  <c r="V275" i="1"/>
  <c r="X275" i="1" s="1"/>
  <c r="V274" i="1"/>
  <c r="V273" i="1"/>
  <c r="V272" i="1"/>
  <c r="X272" i="1" s="1"/>
  <c r="V271" i="1"/>
  <c r="X271" i="1" s="1"/>
  <c r="V270" i="1"/>
  <c r="X270" i="1" s="1"/>
  <c r="V269" i="1"/>
  <c r="X269" i="1" s="1"/>
  <c r="V268" i="1"/>
  <c r="X268" i="1" s="1"/>
  <c r="V267" i="1"/>
  <c r="X267" i="1" s="1"/>
  <c r="V266" i="1"/>
  <c r="V265" i="1"/>
  <c r="V264" i="1"/>
  <c r="X264" i="1" s="1"/>
  <c r="V263" i="1"/>
  <c r="X263" i="1" s="1"/>
  <c r="V262" i="1"/>
  <c r="X262" i="1" s="1"/>
  <c r="V261" i="1"/>
  <c r="X261" i="1" s="1"/>
  <c r="V260" i="1"/>
  <c r="V259" i="1"/>
  <c r="X259" i="1" s="1"/>
  <c r="V258" i="1"/>
  <c r="V257" i="1"/>
  <c r="V256" i="1"/>
  <c r="X256" i="1" s="1"/>
  <c r="V255" i="1"/>
  <c r="X255" i="1" s="1"/>
  <c r="V254" i="1"/>
  <c r="X254" i="1" s="1"/>
  <c r="V253" i="1"/>
  <c r="X253" i="1" s="1"/>
  <c r="V252" i="1"/>
  <c r="X252" i="1" s="1"/>
  <c r="V251" i="1"/>
  <c r="X251" i="1" s="1"/>
  <c r="V250" i="1"/>
  <c r="V249" i="1"/>
  <c r="V248" i="1"/>
  <c r="X248" i="1" s="1"/>
  <c r="V247" i="1"/>
  <c r="X247" i="1" s="1"/>
  <c r="V246" i="1"/>
  <c r="X246" i="1" s="1"/>
  <c r="V245" i="1"/>
  <c r="X245" i="1" s="1"/>
  <c r="V244" i="1"/>
  <c r="V243" i="1"/>
  <c r="X243" i="1" s="1"/>
  <c r="V242" i="1"/>
  <c r="V241" i="1"/>
  <c r="V240" i="1"/>
  <c r="X240" i="1" s="1"/>
  <c r="V239" i="1"/>
  <c r="X239" i="1" s="1"/>
  <c r="V238" i="1"/>
  <c r="X238" i="1" s="1"/>
  <c r="V237" i="1"/>
  <c r="X237" i="1" s="1"/>
  <c r="V236" i="1"/>
  <c r="X236" i="1" s="1"/>
  <c r="V235" i="1"/>
  <c r="X235" i="1" s="1"/>
  <c r="V234" i="1"/>
  <c r="V233" i="1"/>
  <c r="V232" i="1"/>
  <c r="X232" i="1" s="1"/>
  <c r="V231" i="1"/>
  <c r="X231" i="1" s="1"/>
  <c r="V230" i="1"/>
  <c r="X230" i="1" s="1"/>
  <c r="V229" i="1"/>
  <c r="X229" i="1" s="1"/>
  <c r="V228" i="1"/>
  <c r="V227" i="1"/>
  <c r="X227" i="1" s="1"/>
  <c r="V226" i="1"/>
  <c r="V225" i="1"/>
  <c r="V224" i="1"/>
  <c r="X224" i="1" s="1"/>
  <c r="V223" i="1"/>
  <c r="X223" i="1" s="1"/>
  <c r="V222" i="1"/>
  <c r="X222" i="1" s="1"/>
  <c r="V221" i="1"/>
  <c r="X221" i="1" s="1"/>
  <c r="V220" i="1"/>
  <c r="X220" i="1" s="1"/>
  <c r="V219" i="1"/>
  <c r="X219" i="1" s="1"/>
  <c r="V218" i="1"/>
  <c r="V217" i="1"/>
  <c r="V216" i="1"/>
  <c r="X216" i="1" s="1"/>
  <c r="V215" i="1"/>
  <c r="X215" i="1" s="1"/>
  <c r="V214" i="1"/>
  <c r="X214" i="1" s="1"/>
  <c r="V213" i="1"/>
  <c r="X213" i="1" s="1"/>
  <c r="V212" i="1"/>
  <c r="V211" i="1"/>
  <c r="X211" i="1" s="1"/>
  <c r="V210" i="1"/>
  <c r="V209" i="1"/>
  <c r="V208" i="1"/>
  <c r="X208" i="1" s="1"/>
  <c r="V207" i="1"/>
  <c r="X207" i="1" s="1"/>
  <c r="V206" i="1"/>
  <c r="X206" i="1" s="1"/>
  <c r="V205" i="1"/>
  <c r="X205" i="1" s="1"/>
  <c r="V204" i="1"/>
  <c r="X204" i="1" s="1"/>
  <c r="V203" i="1"/>
  <c r="X203" i="1" s="1"/>
  <c r="V202" i="1"/>
  <c r="V201" i="1"/>
  <c r="V200" i="1"/>
  <c r="X200" i="1" s="1"/>
  <c r="V199" i="1"/>
  <c r="X199" i="1" s="1"/>
  <c r="V198" i="1"/>
  <c r="X198" i="1" s="1"/>
  <c r="V197" i="1"/>
  <c r="X197" i="1" s="1"/>
  <c r="V196" i="1"/>
  <c r="V195" i="1"/>
  <c r="X195" i="1" s="1"/>
  <c r="V194" i="1"/>
  <c r="V193" i="1"/>
  <c r="V192" i="1"/>
  <c r="X192" i="1" s="1"/>
  <c r="V191" i="1"/>
  <c r="X191" i="1" s="1"/>
  <c r="V190" i="1"/>
  <c r="X190" i="1" s="1"/>
  <c r="V189" i="1"/>
  <c r="X189" i="1" s="1"/>
  <c r="V188" i="1"/>
  <c r="X188" i="1" s="1"/>
  <c r="V187" i="1"/>
  <c r="X187" i="1" s="1"/>
  <c r="V186" i="1"/>
  <c r="V185" i="1"/>
  <c r="V184" i="1"/>
  <c r="X184" i="1" s="1"/>
  <c r="V183" i="1"/>
  <c r="X183" i="1" s="1"/>
  <c r="V182" i="1"/>
  <c r="X182" i="1" s="1"/>
  <c r="V181" i="1"/>
  <c r="X181" i="1" s="1"/>
  <c r="V180" i="1"/>
  <c r="V179" i="1"/>
  <c r="X179" i="1" s="1"/>
  <c r="V178" i="1"/>
  <c r="V177" i="1"/>
  <c r="V176" i="1"/>
  <c r="X176" i="1" s="1"/>
  <c r="V175" i="1"/>
  <c r="X175" i="1" s="1"/>
  <c r="V174" i="1"/>
  <c r="X174" i="1" s="1"/>
  <c r="V173" i="1"/>
  <c r="X173" i="1" s="1"/>
  <c r="V172" i="1"/>
  <c r="X172" i="1" s="1"/>
  <c r="V171" i="1"/>
  <c r="X171" i="1" s="1"/>
  <c r="V170" i="1"/>
  <c r="V169" i="1"/>
  <c r="V168" i="1"/>
  <c r="X168" i="1" s="1"/>
  <c r="V167" i="1"/>
  <c r="X167" i="1" s="1"/>
  <c r="V166" i="1"/>
  <c r="X166" i="1" s="1"/>
  <c r="V165" i="1"/>
  <c r="X165" i="1" s="1"/>
  <c r="V164" i="1"/>
  <c r="V163" i="1"/>
  <c r="X163" i="1" s="1"/>
  <c r="V162" i="1"/>
  <c r="V161" i="1"/>
  <c r="V160" i="1"/>
  <c r="X160" i="1" s="1"/>
  <c r="V159" i="1"/>
  <c r="X159" i="1" s="1"/>
  <c r="V158" i="1"/>
  <c r="X158" i="1" s="1"/>
  <c r="V157" i="1"/>
  <c r="X157" i="1" s="1"/>
  <c r="V156" i="1"/>
  <c r="X156" i="1" s="1"/>
  <c r="V155" i="1"/>
  <c r="X155" i="1" s="1"/>
  <c r="V154" i="1"/>
  <c r="V153" i="1"/>
  <c r="V152" i="1"/>
  <c r="X152" i="1" s="1"/>
  <c r="V151" i="1"/>
  <c r="X151" i="1" s="1"/>
  <c r="V150" i="1"/>
  <c r="X150" i="1" s="1"/>
  <c r="V149" i="1"/>
  <c r="X149" i="1" s="1"/>
  <c r="V148" i="1"/>
  <c r="V147" i="1"/>
  <c r="X147" i="1" s="1"/>
  <c r="V146" i="1"/>
  <c r="V145" i="1"/>
  <c r="V144" i="1"/>
  <c r="X144" i="1" s="1"/>
  <c r="V143" i="1"/>
  <c r="X143" i="1" s="1"/>
  <c r="V142" i="1"/>
  <c r="X142" i="1" s="1"/>
  <c r="V141" i="1"/>
  <c r="X141" i="1" s="1"/>
  <c r="V140" i="1"/>
  <c r="X140" i="1" s="1"/>
  <c r="V139" i="1"/>
  <c r="X139" i="1" s="1"/>
  <c r="V138" i="1"/>
  <c r="V137" i="1"/>
  <c r="V136" i="1"/>
  <c r="X136" i="1" s="1"/>
  <c r="V135" i="1"/>
  <c r="X135" i="1" s="1"/>
  <c r="V134" i="1"/>
  <c r="X134" i="1" s="1"/>
  <c r="V133" i="1"/>
  <c r="X133" i="1" s="1"/>
  <c r="V132" i="1"/>
  <c r="V131" i="1"/>
  <c r="X131" i="1" s="1"/>
  <c r="V130" i="1"/>
  <c r="V129" i="1"/>
  <c r="V128" i="1"/>
  <c r="X128" i="1" s="1"/>
  <c r="V127" i="1"/>
  <c r="X127" i="1" s="1"/>
  <c r="V126" i="1"/>
  <c r="X126" i="1" s="1"/>
  <c r="V125" i="1"/>
  <c r="X125" i="1" s="1"/>
  <c r="V124" i="1"/>
  <c r="X124" i="1" s="1"/>
  <c r="V123" i="1"/>
  <c r="X123" i="1" s="1"/>
  <c r="V122" i="1"/>
  <c r="V121" i="1"/>
  <c r="V120" i="1"/>
  <c r="X120" i="1" s="1"/>
  <c r="V119" i="1"/>
  <c r="X119" i="1" s="1"/>
  <c r="V118" i="1"/>
  <c r="X118" i="1" s="1"/>
  <c r="V117" i="1"/>
  <c r="X117" i="1" s="1"/>
  <c r="V116" i="1"/>
  <c r="V115" i="1"/>
  <c r="X115" i="1" s="1"/>
  <c r="V114" i="1"/>
  <c r="V113" i="1"/>
  <c r="V112" i="1"/>
  <c r="X112" i="1" s="1"/>
  <c r="V111" i="1"/>
  <c r="X111" i="1" s="1"/>
  <c r="V110" i="1"/>
  <c r="X110" i="1" s="1"/>
  <c r="V109" i="1"/>
  <c r="X109" i="1" s="1"/>
  <c r="V108" i="1"/>
  <c r="X108" i="1" s="1"/>
  <c r="V107" i="1"/>
  <c r="X107" i="1" s="1"/>
  <c r="V106" i="1"/>
  <c r="V105" i="1"/>
  <c r="V104" i="1"/>
  <c r="X104" i="1" s="1"/>
  <c r="V103" i="1"/>
  <c r="X103" i="1" s="1"/>
  <c r="V102" i="1"/>
  <c r="X102" i="1" s="1"/>
  <c r="V101" i="1"/>
  <c r="X101" i="1" s="1"/>
  <c r="V100" i="1"/>
  <c r="V99" i="1"/>
  <c r="X99" i="1" s="1"/>
  <c r="V98" i="1"/>
  <c r="V97" i="1"/>
  <c r="V96" i="1"/>
  <c r="X96" i="1" s="1"/>
  <c r="V95" i="1"/>
  <c r="X95" i="1" s="1"/>
  <c r="V94" i="1"/>
  <c r="X94" i="1" s="1"/>
  <c r="V93" i="1"/>
  <c r="X93" i="1" s="1"/>
  <c r="V92" i="1"/>
  <c r="X92" i="1" s="1"/>
  <c r="V91" i="1"/>
  <c r="X91" i="1" s="1"/>
  <c r="V90" i="1"/>
  <c r="V89" i="1"/>
  <c r="V88" i="1"/>
  <c r="X88" i="1" s="1"/>
  <c r="V87" i="1"/>
  <c r="X87" i="1" s="1"/>
  <c r="V86" i="1"/>
  <c r="X86" i="1" s="1"/>
  <c r="V85" i="1"/>
  <c r="X85" i="1" s="1"/>
  <c r="V84" i="1"/>
  <c r="V83" i="1"/>
  <c r="X83" i="1" s="1"/>
  <c r="V82" i="1"/>
  <c r="V81" i="1"/>
  <c r="V80" i="1"/>
  <c r="X80" i="1" s="1"/>
  <c r="V79" i="1"/>
  <c r="X79" i="1" s="1"/>
  <c r="V78" i="1"/>
  <c r="X78" i="1" s="1"/>
  <c r="V77" i="1"/>
  <c r="X77" i="1" s="1"/>
  <c r="V76" i="1"/>
  <c r="X76" i="1" s="1"/>
  <c r="V75" i="1"/>
  <c r="X75" i="1" s="1"/>
  <c r="V74" i="1"/>
  <c r="V73" i="1"/>
  <c r="V72" i="1"/>
  <c r="X72" i="1" s="1"/>
  <c r="V71" i="1"/>
  <c r="X71" i="1" s="1"/>
  <c r="V70" i="1"/>
  <c r="X70" i="1" s="1"/>
  <c r="V69" i="1"/>
  <c r="X69" i="1" s="1"/>
  <c r="V68" i="1"/>
  <c r="V67" i="1"/>
  <c r="X67" i="1" s="1"/>
  <c r="V66" i="1"/>
  <c r="V65" i="1"/>
  <c r="V64" i="1"/>
  <c r="X64" i="1" s="1"/>
  <c r="V63" i="1"/>
  <c r="X63" i="1" s="1"/>
  <c r="V62" i="1"/>
  <c r="X62" i="1" s="1"/>
  <c r="V61" i="1"/>
  <c r="X61" i="1" s="1"/>
  <c r="V60" i="1"/>
  <c r="X60" i="1" s="1"/>
  <c r="V59" i="1"/>
  <c r="X59" i="1" s="1"/>
  <c r="V58" i="1"/>
  <c r="V57" i="1"/>
  <c r="V56" i="1"/>
  <c r="X56" i="1" s="1"/>
  <c r="V55" i="1"/>
  <c r="X55" i="1" s="1"/>
  <c r="V54" i="1"/>
  <c r="X54" i="1" s="1"/>
  <c r="V53" i="1"/>
  <c r="X53" i="1" s="1"/>
  <c r="V52" i="1"/>
  <c r="V51" i="1"/>
  <c r="X51" i="1" s="1"/>
  <c r="V50" i="1"/>
  <c r="V49" i="1"/>
  <c r="V48" i="1"/>
  <c r="X48" i="1" s="1"/>
  <c r="V47" i="1"/>
  <c r="X47" i="1" s="1"/>
  <c r="V46" i="1"/>
  <c r="X46" i="1" s="1"/>
  <c r="V45" i="1"/>
  <c r="X45" i="1" s="1"/>
  <c r="V44" i="1"/>
  <c r="X44" i="1" s="1"/>
  <c r="V43" i="1"/>
  <c r="X43" i="1" s="1"/>
  <c r="V42" i="1"/>
  <c r="V41" i="1"/>
  <c r="V40" i="1"/>
  <c r="X40" i="1" s="1"/>
  <c r="V39" i="1"/>
  <c r="X39" i="1" s="1"/>
  <c r="V38" i="1"/>
  <c r="X38" i="1" s="1"/>
  <c r="V37" i="1"/>
  <c r="X37" i="1" s="1"/>
  <c r="V36" i="1"/>
  <c r="V35" i="1"/>
  <c r="X35" i="1" s="1"/>
  <c r="V34" i="1"/>
  <c r="V33" i="1"/>
  <c r="V32" i="1"/>
  <c r="X32" i="1" s="1"/>
  <c r="V31" i="1"/>
  <c r="X31" i="1" s="1"/>
  <c r="V30" i="1"/>
  <c r="X30" i="1" s="1"/>
  <c r="V29" i="1"/>
  <c r="X29" i="1" s="1"/>
  <c r="V28" i="1"/>
  <c r="X28" i="1" s="1"/>
  <c r="V27" i="1"/>
  <c r="X27" i="1" s="1"/>
  <c r="V26" i="1"/>
  <c r="V25" i="1"/>
  <c r="V24" i="1"/>
  <c r="X24" i="1" s="1"/>
  <c r="V23" i="1"/>
  <c r="X23" i="1" s="1"/>
  <c r="V22" i="1"/>
  <c r="X22" i="1" s="1"/>
  <c r="V21" i="1"/>
  <c r="X21" i="1" s="1"/>
  <c r="V20" i="1"/>
  <c r="V19" i="1"/>
  <c r="X19" i="1" s="1"/>
  <c r="V18" i="1"/>
  <c r="V17" i="1"/>
  <c r="V16" i="1"/>
  <c r="X16" i="1" s="1"/>
  <c r="V15" i="1"/>
  <c r="X15" i="1" s="1"/>
  <c r="V14" i="1"/>
  <c r="X14" i="1" s="1"/>
  <c r="V13" i="1"/>
  <c r="X13" i="1" s="1"/>
  <c r="V12" i="1"/>
  <c r="X12" i="1" s="1"/>
  <c r="V11" i="1"/>
  <c r="X11" i="1" s="1"/>
  <c r="V10" i="1"/>
  <c r="V9" i="1"/>
  <c r="V8" i="1"/>
  <c r="X8" i="1" s="1"/>
  <c r="V7" i="1"/>
  <c r="X7" i="1" s="1"/>
  <c r="V6" i="1"/>
  <c r="X6" i="1" s="1"/>
  <c r="V5" i="1"/>
  <c r="X5" i="1" s="1"/>
  <c r="V4" i="1"/>
  <c r="V3" i="1"/>
  <c r="X3" i="1" s="1"/>
  <c r="V2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<sst xmlns="http://schemas.openxmlformats.org/spreadsheetml/2006/main" count="5838" uniqueCount="186">
  <si>
    <t>ObjectId</t>
  </si>
  <si>
    <t>Country</t>
  </si>
  <si>
    <t>ISO2</t>
  </si>
  <si>
    <t>ISO3</t>
  </si>
  <si>
    <t>Indicator</t>
  </si>
  <si>
    <t>Source</t>
  </si>
  <si>
    <t>CTS Code</t>
  </si>
  <si>
    <t>CTS Name</t>
  </si>
  <si>
    <t>CTS Full Descriptor</t>
  </si>
  <si>
    <t>Unit</t>
  </si>
  <si>
    <t>Year</t>
  </si>
  <si>
    <t>Environmental Protection Expenditure</t>
  </si>
  <si>
    <t>GHG</t>
  </si>
  <si>
    <t>GHG Agriculture</t>
  </si>
  <si>
    <t>GHG Buildings</t>
  </si>
  <si>
    <t>GHG Fuel Exploitation</t>
  </si>
  <si>
    <t>GHG Industrial Combustion</t>
  </si>
  <si>
    <t>GHG Power Industry</t>
  </si>
  <si>
    <t>GHG Processes</t>
  </si>
  <si>
    <t>GHG Transport</t>
  </si>
  <si>
    <t>GHG Waste</t>
  </si>
  <si>
    <t>Control of Corruption: Percentile Rank [CC.PER.RNK]</t>
  </si>
  <si>
    <t>Government Effectiveness: Percentile Rank [GE.PER.RNK]</t>
  </si>
  <si>
    <t>Political Stability and Absence of Violence/Terrorism: Percentile Rank [PV.PER.RNK]</t>
  </si>
  <si>
    <t>Regulatory Quality: Percentile Rank [RQ.PER.RNK]</t>
  </si>
  <si>
    <t>Rule of Law: Percentile Rank [RL.PER.RNK]</t>
  </si>
  <si>
    <t>Voice and Accountability: Percentile Rank [VA.PER.RNK]</t>
  </si>
  <si>
    <t>GDP_Per_Capita_PPP</t>
  </si>
  <si>
    <t>Agriculture Land</t>
  </si>
  <si>
    <t>Electricity_Consumption_per_Capita</t>
  </si>
  <si>
    <t>Renewable_Energy_Consumption</t>
  </si>
  <si>
    <t>Urban_Population_Percent</t>
  </si>
  <si>
    <t>Australia</t>
  </si>
  <si>
    <t>AU</t>
  </si>
  <si>
    <t>AUS</t>
  </si>
  <si>
    <t>Expenditure on environment protection</t>
  </si>
  <si>
    <t>International Monetary Fund (IMF), Statistics Department. 2021. Government Finance Statistics (GFS) Database. https://data.imf.org/?sk=a0867067-d23c-4ebc-ad23-d3b015045405. Accessed on 2023-06-17; International Monetary Fund (IMF), Statistics Department (Government Finance Division) Questionnaire.</t>
  </si>
  <si>
    <t>GEN_G14</t>
  </si>
  <si>
    <t>Environmental Protection Expenditures</t>
  </si>
  <si>
    <t>Government and Public Sector Finance, Expenditure By Cofog, [Sector], Environmental Protection [2014 Manual]</t>
  </si>
  <si>
    <t>Percent of GDP</t>
  </si>
  <si>
    <t>Austria</t>
  </si>
  <si>
    <t>AT</t>
  </si>
  <si>
    <t>AUT</t>
  </si>
  <si>
    <t>Azerbaijan, Rep. of</t>
  </si>
  <si>
    <t>AZ</t>
  </si>
  <si>
    <t>AZE</t>
  </si>
  <si>
    <t>Belgium</t>
  </si>
  <si>
    <t>BE</t>
  </si>
  <si>
    <t>BEL</t>
  </si>
  <si>
    <t>Bulgaria</t>
  </si>
  <si>
    <t>BG</t>
  </si>
  <si>
    <t>BGR</t>
  </si>
  <si>
    <t>Canada</t>
  </si>
  <si>
    <t>CA</t>
  </si>
  <si>
    <t>CAN</t>
  </si>
  <si>
    <t>Chile</t>
  </si>
  <si>
    <t>CL</t>
  </si>
  <si>
    <t>CHL</t>
  </si>
  <si>
    <t>Croatia, Rep. of</t>
  </si>
  <si>
    <t>HR</t>
  </si>
  <si>
    <t>HRV</t>
  </si>
  <si>
    <t>Cyprus</t>
  </si>
  <si>
    <t>CY</t>
  </si>
  <si>
    <t>CYP</t>
  </si>
  <si>
    <t>Czech Rep.</t>
  </si>
  <si>
    <t>CZ</t>
  </si>
  <si>
    <t>CZE</t>
  </si>
  <si>
    <t>Denmark</t>
  </si>
  <si>
    <t>DK</t>
  </si>
  <si>
    <t>DNK</t>
  </si>
  <si>
    <t>El Salvador</t>
  </si>
  <si>
    <t>SV</t>
  </si>
  <si>
    <t>SLV</t>
  </si>
  <si>
    <t>Estonia, Rep. of</t>
  </si>
  <si>
    <t>EE</t>
  </si>
  <si>
    <t>EST</t>
  </si>
  <si>
    <t>Finland</t>
  </si>
  <si>
    <t>FI</t>
  </si>
  <si>
    <t>FIN</t>
  </si>
  <si>
    <t>France</t>
  </si>
  <si>
    <t>FR</t>
  </si>
  <si>
    <t>FRA</t>
  </si>
  <si>
    <t>Georgia</t>
  </si>
  <si>
    <t>GE</t>
  </si>
  <si>
    <t>GEO</t>
  </si>
  <si>
    <t>Germany</t>
  </si>
  <si>
    <t>DE</t>
  </si>
  <si>
    <t>DEU</t>
  </si>
  <si>
    <t>Greece</t>
  </si>
  <si>
    <t>GR</t>
  </si>
  <si>
    <t>GRC</t>
  </si>
  <si>
    <t>Hungary</t>
  </si>
  <si>
    <t>HU</t>
  </si>
  <si>
    <t>HUN</t>
  </si>
  <si>
    <t>Iceland</t>
  </si>
  <si>
    <t>IS</t>
  </si>
  <si>
    <t>ISL</t>
  </si>
  <si>
    <t>Indonesia</t>
  </si>
  <si>
    <t>ID</t>
  </si>
  <si>
    <t>IDN</t>
  </si>
  <si>
    <t>Ireland</t>
  </si>
  <si>
    <t>IE</t>
  </si>
  <si>
    <t>IRL</t>
  </si>
  <si>
    <t>Israel</t>
  </si>
  <si>
    <t>IL</t>
  </si>
  <si>
    <t>ISR</t>
  </si>
  <si>
    <t>Italy</t>
  </si>
  <si>
    <t>IT</t>
  </si>
  <si>
    <t>ITA</t>
  </si>
  <si>
    <t>Japan</t>
  </si>
  <si>
    <t>JP</t>
  </si>
  <si>
    <t>JPN</t>
  </si>
  <si>
    <t>Latvia</t>
  </si>
  <si>
    <t>LV</t>
  </si>
  <si>
    <t>LVA</t>
  </si>
  <si>
    <t>Lithuania</t>
  </si>
  <si>
    <t>LT</t>
  </si>
  <si>
    <t>LTU</t>
  </si>
  <si>
    <t>Luxembourg</t>
  </si>
  <si>
    <t>LU</t>
  </si>
  <si>
    <t>LUX</t>
  </si>
  <si>
    <t>Malta</t>
  </si>
  <si>
    <t>MT</t>
  </si>
  <si>
    <t>MLT</t>
  </si>
  <si>
    <t>Mauritius</t>
  </si>
  <si>
    <t>MU</t>
  </si>
  <si>
    <t>MUS</t>
  </si>
  <si>
    <t>Moldova, Rep. of</t>
  </si>
  <si>
    <t>MD</t>
  </si>
  <si>
    <t>MDA</t>
  </si>
  <si>
    <t>Netherlands, The</t>
  </si>
  <si>
    <t>NL</t>
  </si>
  <si>
    <t>NLD</t>
  </si>
  <si>
    <t>Norway</t>
  </si>
  <si>
    <t>NO</t>
  </si>
  <si>
    <t>NOR</t>
  </si>
  <si>
    <t>Poland, Rep. of</t>
  </si>
  <si>
    <t>PL</t>
  </si>
  <si>
    <t>POL</t>
  </si>
  <si>
    <t>Portugal</t>
  </si>
  <si>
    <t>PT</t>
  </si>
  <si>
    <t>PRT</t>
  </si>
  <si>
    <t>Romania</t>
  </si>
  <si>
    <t>RO</t>
  </si>
  <si>
    <t>ROU</t>
  </si>
  <si>
    <t>Slovak Rep.</t>
  </si>
  <si>
    <t>SK</t>
  </si>
  <si>
    <t>SVK</t>
  </si>
  <si>
    <t>Slovenia, Rep. of</t>
  </si>
  <si>
    <t>SI</t>
  </si>
  <si>
    <t>SVN</t>
  </si>
  <si>
    <t>Spain</t>
  </si>
  <si>
    <t>ES</t>
  </si>
  <si>
    <t>ESP</t>
  </si>
  <si>
    <t>Sweden</t>
  </si>
  <si>
    <t>SE</t>
  </si>
  <si>
    <t>SWE</t>
  </si>
  <si>
    <t>Switzerland</t>
  </si>
  <si>
    <t>CH</t>
  </si>
  <si>
    <t>CHE</t>
  </si>
  <si>
    <t>Türkiye, Rep. of</t>
  </si>
  <si>
    <t>TR</t>
  </si>
  <si>
    <t>TUR</t>
  </si>
  <si>
    <t>Uganda</t>
  </si>
  <si>
    <t>UG</t>
  </si>
  <si>
    <t>UGA</t>
  </si>
  <si>
    <t>Ukraine</t>
  </si>
  <si>
    <t>UA</t>
  </si>
  <si>
    <t>UKR</t>
  </si>
  <si>
    <t>United Kingdom</t>
  </si>
  <si>
    <t>GB</t>
  </si>
  <si>
    <t>GBR</t>
  </si>
  <si>
    <t>Zambia</t>
  </si>
  <si>
    <t>ZM</t>
  </si>
  <si>
    <t>ZMB</t>
  </si>
  <si>
    <t>GHG Intensity</t>
  </si>
  <si>
    <t>GHG Agriculture Intensity</t>
  </si>
  <si>
    <t>GHG Buildings Intensity</t>
  </si>
  <si>
    <t>GHG Industrial Combustion Intensity</t>
  </si>
  <si>
    <t>GHG Power Industry Intensity</t>
  </si>
  <si>
    <t>GHG Processes Intensity</t>
  </si>
  <si>
    <t>GHG Transport Intensity</t>
  </si>
  <si>
    <t>GHG Waste Intensity</t>
  </si>
  <si>
    <t>FDI</t>
  </si>
  <si>
    <t>GHG Fuel Exploitation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</si>
</sst>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E+00"/>
    <numFmt numFmtId="165" formatCode="0.00000E+00"/>
    <numFmt numFmtId="166" formatCode="0.000E+00"/>
  </numFmts>
  <fonts count="5">
    <font>
      <sz val="11"/>
      <color rgb="FF000000"/>
      <name val="Calibri"/>
      <family val="2"/>
    </font>
    <font>
      <b/>
      <sz val="10"/>
      <color indexed="8"/>
      <name val="Helvetica Neue"/>
      <family val="2"/>
    </font>
    <font>
      <sz val="10"/>
      <color rgb="FF000000"/>
      <name val="Helvetica Neue"/>
      <family val="2"/>
    </font>
    <font>
      <i/>
      <sz val="11"/>
      <color rgb="FF000000"/>
      <name val="Calibri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3FF9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Border="0"/>
  </cellStyleXfs>
  <cellXfs count="20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49" fontId="1" fillId="3" borderId="0" xfId="0" applyNumberFormat="1" applyFont="1" applyFill="1" applyBorder="1" applyAlignment="1">
      <alignment vertical="top"/>
    </xf>
    <xf numFmtId="49" fontId="1" fillId="4" borderId="1" xfId="0" applyNumberFormat="1" applyFont="1" applyFill="1" applyBorder="1" applyAlignment="1">
      <alignment vertical="top"/>
    </xf>
    <xf numFmtId="49" fontId="1" fillId="5" borderId="2" xfId="0" applyNumberFormat="1" applyFont="1" applyFill="1" applyBorder="1" applyAlignment="1">
      <alignment vertical="top"/>
    </xf>
    <xf numFmtId="0" fontId="0" fillId="6" borderId="0" xfId="0" applyFill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2" fillId="0" borderId="0" xfId="0" applyFont="1"/>
    <xf numFmtId="0" fontId="3" fillId="0" borderId="0" xfId="0" applyFont="1"/>
    <xf numFmtId="164" fontId="0" fillId="0" borderId="3" xfId="0" applyNumberFormat="1" applyBorder="1" applyAlignment="1">
      <alignment vertical="top"/>
    </xf>
    <xf numFmtId="165" fontId="0" fillId="0" borderId="3" xfId="0" applyNumberFormat="1" applyBorder="1" applyAlignment="1">
      <alignment vertical="top"/>
    </xf>
    <xf numFmtId="11" fontId="0" fillId="0" borderId="3" xfId="0" applyNumberFormat="1" applyBorder="1" applyAlignment="1">
      <alignment vertical="top"/>
    </xf>
    <xf numFmtId="166" fontId="0" fillId="0" borderId="3" xfId="0" applyNumberForma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0" fillId="0" borderId="0" xfId="0" applyBorder="1" applyAlignment="1">
      <alignment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DC24-2B4E-F74B-984A-C1B76EEB3983}">
  <dimension ref="A1:AP645"/>
  <sheetViews>
    <sheetView tabSelected="1" topLeftCell="R1" zoomScale="82" zoomScaleNormal="82" workbookViewId="0">
      <selection activeCell="T2" sqref="T2"/>
    </sheetView>
  </sheetViews>
  <sheetFormatPr defaultColWidth="10.90625" defaultRowHeight="14.5"/>
  <cols>
    <col min="9" max="9" width="35" customWidth="1"/>
    <col min="10" max="10" width="19" customWidth="1"/>
    <col min="12" max="12" width="17" customWidth="1"/>
    <col min="14" max="14" width="12.1796875" bestFit="1" customWidth="1"/>
    <col min="15" max="16" width="14.1796875" customWidth="1"/>
    <col min="18" max="18" width="12.36328125" bestFit="1" customWidth="1"/>
    <col min="19" max="20" width="14.81640625" customWidth="1"/>
    <col min="21" max="22" width="16.81640625" customWidth="1"/>
    <col min="23" max="24" width="17.36328125" customWidth="1"/>
    <col min="25" max="26" width="11.453125" customWidth="1"/>
    <col min="28" max="28" width="12.36328125" bestFit="1" customWidth="1"/>
    <col min="37" max="37" width="16.1796875" customWidth="1"/>
    <col min="38" max="38" width="16" customWidth="1"/>
    <col min="39" max="39" width="18.8164062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2" t="s">
        <v>12</v>
      </c>
      <c r="N1" s="2" t="s">
        <v>176</v>
      </c>
      <c r="O1" s="3" t="s">
        <v>13</v>
      </c>
      <c r="P1" s="3" t="s">
        <v>177</v>
      </c>
      <c r="Q1" s="3" t="s">
        <v>14</v>
      </c>
      <c r="R1" s="3" t="s">
        <v>178</v>
      </c>
      <c r="S1" s="3" t="s">
        <v>15</v>
      </c>
      <c r="T1" s="3" t="s">
        <v>185</v>
      </c>
      <c r="U1" s="3" t="s">
        <v>16</v>
      </c>
      <c r="V1" s="3" t="s">
        <v>179</v>
      </c>
      <c r="W1" s="3" t="s">
        <v>17</v>
      </c>
      <c r="X1" s="3" t="s">
        <v>180</v>
      </c>
      <c r="Y1" s="3" t="s">
        <v>18</v>
      </c>
      <c r="Z1" s="3" t="s">
        <v>181</v>
      </c>
      <c r="AA1" s="3" t="s">
        <v>19</v>
      </c>
      <c r="AB1" s="3" t="s">
        <v>182</v>
      </c>
      <c r="AC1" s="3" t="s">
        <v>20</v>
      </c>
      <c r="AD1" s="3" t="s">
        <v>183</v>
      </c>
      <c r="AE1" s="4" t="s">
        <v>21</v>
      </c>
      <c r="AF1" s="4" t="s">
        <v>22</v>
      </c>
      <c r="AG1" s="4" t="s">
        <v>23</v>
      </c>
      <c r="AH1" s="4" t="s">
        <v>24</v>
      </c>
      <c r="AI1" s="4" t="s">
        <v>25</v>
      </c>
      <c r="AJ1" s="4" t="s">
        <v>26</v>
      </c>
      <c r="AK1" s="5" t="s">
        <v>27</v>
      </c>
      <c r="AL1" s="5" t="s">
        <v>28</v>
      </c>
      <c r="AM1" s="5" t="s">
        <v>29</v>
      </c>
      <c r="AN1" s="5" t="s">
        <v>30</v>
      </c>
      <c r="AO1" s="5" t="s">
        <v>31</v>
      </c>
      <c r="AP1" s="5" t="s">
        <v>184</v>
      </c>
    </row>
    <row r="2" spans="1:42">
      <c r="A2">
        <v>64</v>
      </c>
      <c r="B2" s="6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2008</v>
      </c>
      <c r="L2">
        <v>0.57093981926583703</v>
      </c>
      <c r="M2" s="7">
        <v>591.38331830000004</v>
      </c>
      <c r="N2" s="7">
        <f>M2/AK2</f>
        <v>1.5756356630860904E-2</v>
      </c>
      <c r="O2" s="8">
        <v>78.677955440000005</v>
      </c>
      <c r="P2" s="8">
        <f>O2/AK2</f>
        <v>2.0962341793191275E-3</v>
      </c>
      <c r="Q2" s="8">
        <v>0.547810935</v>
      </c>
      <c r="R2" s="8">
        <f>Q2/AK2</f>
        <v>1.4595447979421576E-5</v>
      </c>
      <c r="S2" s="8">
        <v>46.456219150000003</v>
      </c>
      <c r="T2" s="8">
        <f>S2/AK2</f>
        <v>1.2377433282240587E-3</v>
      </c>
      <c r="U2" s="8">
        <v>0.12203570800000001</v>
      </c>
      <c r="V2" s="8">
        <f>U2/AK2</f>
        <v>3.2514243764518529E-6</v>
      </c>
      <c r="W2" s="8">
        <v>0.15170914999999999</v>
      </c>
      <c r="X2" s="8">
        <f>V2/AK2</f>
        <v>8.6628419247465841E-11</v>
      </c>
      <c r="Y2" s="8">
        <v>3.1245004E-2</v>
      </c>
      <c r="Z2" s="8">
        <f>Y2/AK2</f>
        <v>8.3246755652809128E-7</v>
      </c>
      <c r="AA2" s="8">
        <v>0.33367168899999999</v>
      </c>
      <c r="AB2" s="8">
        <f>AA2/AK2</f>
        <v>8.8900886562354491E-6</v>
      </c>
      <c r="AC2" s="8">
        <v>14.790276629999999</v>
      </c>
      <c r="AD2" s="18">
        <f>AC2/AK2</f>
        <v>3.9406061354802939E-4</v>
      </c>
      <c r="AE2" s="9">
        <v>96.1</v>
      </c>
      <c r="AF2" s="10">
        <v>95.6</v>
      </c>
      <c r="AG2" s="10">
        <v>80.3</v>
      </c>
      <c r="AH2" s="10">
        <v>96.6</v>
      </c>
      <c r="AI2" s="10">
        <v>95.2</v>
      </c>
      <c r="AJ2" s="10">
        <v>94.7</v>
      </c>
      <c r="AK2" s="11">
        <v>37532.999040000002</v>
      </c>
      <c r="AL2" s="11">
        <v>50.673366100000003</v>
      </c>
      <c r="AM2" s="11">
        <v>10749.111059999999</v>
      </c>
      <c r="AN2" s="11">
        <v>6.8</v>
      </c>
      <c r="AO2" s="11">
        <v>84.942999999999998</v>
      </c>
      <c r="AP2" s="19">
        <v>4.2770159799999998</v>
      </c>
    </row>
    <row r="3" spans="1:42">
      <c r="A3">
        <v>78</v>
      </c>
      <c r="B3" s="6" t="s">
        <v>41</v>
      </c>
      <c r="C3" t="s">
        <v>42</v>
      </c>
      <c r="D3" t="s">
        <v>43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>
        <v>2008</v>
      </c>
      <c r="L3">
        <v>0.459603508828068</v>
      </c>
      <c r="M3" s="7">
        <v>90.265316530000007</v>
      </c>
      <c r="N3" s="7">
        <f t="shared" ref="N3:N66" si="0">M3/AK3</f>
        <v>2.1990834470134368E-3</v>
      </c>
      <c r="O3" s="8">
        <v>5.445813652</v>
      </c>
      <c r="P3" s="8">
        <f t="shared" ref="P3:P66" si="1">O3/AK3</f>
        <v>1.3267331371571485E-4</v>
      </c>
      <c r="Q3" s="8">
        <v>0.66198937400000002</v>
      </c>
      <c r="R3" s="8">
        <f t="shared" ref="R3:R66" si="2">Q3/AK3</f>
        <v>1.6127677057204545E-5</v>
      </c>
      <c r="S3" s="8">
        <v>0.77421772200000005</v>
      </c>
      <c r="T3" s="8">
        <f t="shared" ref="T3:T66" si="3">S3/AK3</f>
        <v>1.8861833562271902E-5</v>
      </c>
      <c r="U3" s="8">
        <v>6.0835815000000001E-2</v>
      </c>
      <c r="V3" s="8">
        <f t="shared" ref="V3:V66" si="4">U3/AK3</f>
        <v>1.4821089527516194E-6</v>
      </c>
      <c r="W3" s="8">
        <v>6.7512379999999997E-2</v>
      </c>
      <c r="X3" s="8">
        <f t="shared" ref="X3:X66" si="5">V3/AK3</f>
        <v>3.6107791895719683E-11</v>
      </c>
      <c r="Y3" s="8">
        <v>1.847944E-2</v>
      </c>
      <c r="Z3" s="8">
        <f t="shared" ref="Z3:Z66" si="6">Y3/AK3</f>
        <v>4.5020426644792025E-7</v>
      </c>
      <c r="AA3" s="8">
        <v>3.8417806999999998E-2</v>
      </c>
      <c r="AB3" s="8">
        <f t="shared" ref="AB3:AB66" si="7">AA3/AK3</f>
        <v>9.3595155583571663E-7</v>
      </c>
      <c r="AC3" s="8">
        <v>2.6854247939999998</v>
      </c>
      <c r="AD3" s="18">
        <f t="shared" ref="AD3:AD66" si="8">AC3/AK3</f>
        <v>6.5423503065235058E-5</v>
      </c>
      <c r="AE3" s="9">
        <v>93.7</v>
      </c>
      <c r="AF3" s="10">
        <v>94.7</v>
      </c>
      <c r="AG3" s="10">
        <v>98.6</v>
      </c>
      <c r="AH3" s="10">
        <v>94.2</v>
      </c>
      <c r="AI3" s="10">
        <v>98.6</v>
      </c>
      <c r="AJ3" s="10">
        <v>94.2</v>
      </c>
      <c r="AK3" s="11">
        <v>41046.79004</v>
      </c>
      <c r="AL3" s="11">
        <v>34.045079999999999</v>
      </c>
      <c r="AM3" s="11">
        <v>8203.4528410000003</v>
      </c>
      <c r="AN3" s="11">
        <v>29.7</v>
      </c>
      <c r="AO3" s="11">
        <v>57.966000000000001</v>
      </c>
      <c r="AP3" s="19">
        <v>1.46799597</v>
      </c>
    </row>
    <row r="4" spans="1:42">
      <c r="A4">
        <v>92</v>
      </c>
      <c r="B4" s="12" t="s">
        <v>44</v>
      </c>
      <c r="C4" t="s">
        <v>45</v>
      </c>
      <c r="D4" t="s">
        <v>46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>
        <v>2008</v>
      </c>
      <c r="L4">
        <v>2.4416252254766201E-2</v>
      </c>
      <c r="M4" s="7">
        <v>51.587156810000003</v>
      </c>
      <c r="N4" s="7">
        <f t="shared" si="0"/>
        <v>3.9031374539664297E-3</v>
      </c>
      <c r="O4" s="8">
        <v>7.1835791069999999</v>
      </c>
      <c r="P4" s="8">
        <f t="shared" si="1"/>
        <v>5.4351699918897729E-4</v>
      </c>
      <c r="Q4" s="8">
        <v>4.7859829999999999E-2</v>
      </c>
      <c r="R4" s="8">
        <f t="shared" si="2"/>
        <v>3.62112406584995E-6</v>
      </c>
      <c r="S4" s="8">
        <v>6.8989329430000002</v>
      </c>
      <c r="T4" s="8">
        <f t="shared" si="3"/>
        <v>5.219803770423405E-4</v>
      </c>
      <c r="U4" s="8">
        <v>1.678821E-3</v>
      </c>
      <c r="V4" s="8">
        <f t="shared" si="4"/>
        <v>1.2702132718303175E-7</v>
      </c>
      <c r="W4" s="8">
        <v>8.7260759999999993E-3</v>
      </c>
      <c r="X4" s="8">
        <f t="shared" si="5"/>
        <v>9.6105645326921706E-12</v>
      </c>
      <c r="Y4" s="8">
        <v>6.0425699999999997E-4</v>
      </c>
      <c r="Z4" s="8">
        <f t="shared" si="6"/>
        <v>4.5718707414094307E-8</v>
      </c>
      <c r="AA4" s="8">
        <v>3.1730262000000002E-2</v>
      </c>
      <c r="AB4" s="8">
        <f t="shared" si="7"/>
        <v>2.4007443265871228E-6</v>
      </c>
      <c r="AC4" s="8">
        <v>2.3410753639999999</v>
      </c>
      <c r="AD4" s="18">
        <f t="shared" si="8"/>
        <v>1.771281749339442E-4</v>
      </c>
      <c r="AE4" s="9">
        <v>10.7</v>
      </c>
      <c r="AF4" s="10">
        <v>23.3</v>
      </c>
      <c r="AG4" s="10">
        <v>32.700000000000003</v>
      </c>
      <c r="AH4" s="10">
        <v>41.7</v>
      </c>
      <c r="AI4" s="10">
        <v>22.1</v>
      </c>
      <c r="AJ4" s="10">
        <v>11.1</v>
      </c>
      <c r="AK4" s="11">
        <v>13216.84348</v>
      </c>
      <c r="AL4" s="11">
        <v>57.568349300000001</v>
      </c>
      <c r="AM4" s="11">
        <v>2040.7604349999999</v>
      </c>
      <c r="AN4" s="11">
        <v>3.1</v>
      </c>
      <c r="AO4" s="11">
        <v>52.99</v>
      </c>
      <c r="AP4" s="19">
        <v>8.1611083200000003</v>
      </c>
    </row>
    <row r="5" spans="1:42">
      <c r="A5">
        <v>150</v>
      </c>
      <c r="B5" s="12" t="s">
        <v>47</v>
      </c>
      <c r="C5" t="s">
        <v>48</v>
      </c>
      <c r="D5" t="s">
        <v>49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>
        <v>2008</v>
      </c>
      <c r="L5">
        <v>0.95842975817502596</v>
      </c>
      <c r="M5" s="7">
        <v>1.8271979000000001E-2</v>
      </c>
      <c r="N5" s="7">
        <f t="shared" si="0"/>
        <v>4.8232238465558795E-7</v>
      </c>
      <c r="O5" s="8">
        <v>7.4178568939999998</v>
      </c>
      <c r="P5" s="8">
        <f t="shared" si="1"/>
        <v>1.9580793225232871E-4</v>
      </c>
      <c r="Q5" s="8">
        <v>0.26234870799999999</v>
      </c>
      <c r="R5" s="8">
        <f t="shared" si="2"/>
        <v>6.9251751249206513E-6</v>
      </c>
      <c r="S5" s="8">
        <v>2.4164170810000001</v>
      </c>
      <c r="T5" s="8">
        <f t="shared" si="3"/>
        <v>6.3785758993616139E-5</v>
      </c>
      <c r="U5" s="8">
        <v>3.8819738999999999E-2</v>
      </c>
      <c r="V5" s="8">
        <f t="shared" si="4"/>
        <v>1.0247181811115003E-6</v>
      </c>
      <c r="W5" s="8">
        <v>6.5230333000000001E-2</v>
      </c>
      <c r="X5" s="8">
        <f t="shared" si="5"/>
        <v>2.7049315058518594E-11</v>
      </c>
      <c r="Y5" s="8">
        <v>6.9797876999999994E-2</v>
      </c>
      <c r="Z5" s="8">
        <f t="shared" si="6"/>
        <v>1.8424429274211301E-6</v>
      </c>
      <c r="AA5" s="8">
        <v>4.5662911E-2</v>
      </c>
      <c r="AB5" s="8">
        <f t="shared" si="7"/>
        <v>1.2053562519875859E-6</v>
      </c>
      <c r="AC5" s="8">
        <v>2.8017392139999999</v>
      </c>
      <c r="AD5" s="18">
        <f t="shared" si="8"/>
        <v>7.3957043124860898E-5</v>
      </c>
      <c r="AE5" s="9">
        <v>90.8</v>
      </c>
      <c r="AF5" s="10">
        <v>87.9</v>
      </c>
      <c r="AG5" s="10">
        <v>67.8</v>
      </c>
      <c r="AH5" s="10">
        <v>91.7</v>
      </c>
      <c r="AI5" s="10">
        <v>89.4</v>
      </c>
      <c r="AJ5" s="10">
        <v>92.8</v>
      </c>
      <c r="AK5" s="11">
        <v>37883.331939999996</v>
      </c>
      <c r="AL5" s="11">
        <v>45.010384700000003</v>
      </c>
      <c r="AM5" s="11">
        <v>8494.4191740000006</v>
      </c>
      <c r="AN5" s="11">
        <v>4</v>
      </c>
      <c r="AO5" s="11">
        <v>97.555000000000007</v>
      </c>
      <c r="AP5" s="19">
        <v>36.802920499999999</v>
      </c>
    </row>
    <row r="6" spans="1:42">
      <c r="A6">
        <v>208</v>
      </c>
      <c r="B6" s="12" t="s">
        <v>50</v>
      </c>
      <c r="C6" t="s">
        <v>51</v>
      </c>
      <c r="D6" t="s">
        <v>52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>
        <v>2008</v>
      </c>
      <c r="L6">
        <v>0.67743733444663101</v>
      </c>
      <c r="M6" s="7">
        <v>180.77095489999999</v>
      </c>
      <c r="N6" s="7">
        <f t="shared" si="0"/>
        <v>1.260002222170197E-2</v>
      </c>
      <c r="O6" s="8">
        <v>2.459632778</v>
      </c>
      <c r="P6" s="8">
        <f t="shared" si="1"/>
        <v>1.7144030509309738E-4</v>
      </c>
      <c r="Q6" s="8">
        <v>0.30695472200000001</v>
      </c>
      <c r="R6" s="8">
        <f t="shared" si="2"/>
        <v>2.1395230889806793E-5</v>
      </c>
      <c r="S6" s="8">
        <v>1.109174602</v>
      </c>
      <c r="T6" s="8">
        <f t="shared" si="3"/>
        <v>7.7311228679842741E-5</v>
      </c>
      <c r="U6" s="8">
        <v>1.000766E-2</v>
      </c>
      <c r="V6" s="8">
        <f t="shared" si="4"/>
        <v>6.9754977206926254E-7</v>
      </c>
      <c r="W6" s="8">
        <v>8.6434210000000001E-3</v>
      </c>
      <c r="X6" s="8">
        <f t="shared" si="5"/>
        <v>4.8620325282221827E-11</v>
      </c>
      <c r="Y6" s="8">
        <v>7.9338120000000002E-3</v>
      </c>
      <c r="Z6" s="8">
        <f t="shared" si="6"/>
        <v>5.5299927777726058E-7</v>
      </c>
      <c r="AA6" s="8">
        <v>4.1229962000000002E-2</v>
      </c>
      <c r="AB6" s="8">
        <f t="shared" si="7"/>
        <v>2.8737937335525344E-6</v>
      </c>
      <c r="AC6" s="8">
        <v>6.2105903150000001</v>
      </c>
      <c r="AD6" s="18">
        <f t="shared" si="8"/>
        <v>4.3288799366123746E-4</v>
      </c>
      <c r="AE6" s="9">
        <v>48.5</v>
      </c>
      <c r="AF6" s="10">
        <v>51</v>
      </c>
      <c r="AG6" s="10">
        <v>56.3</v>
      </c>
      <c r="AH6" s="10">
        <v>73.3</v>
      </c>
      <c r="AI6" s="10">
        <v>51.9</v>
      </c>
      <c r="AJ6" s="10">
        <v>65.900000000000006</v>
      </c>
      <c r="AK6" s="11">
        <v>14346.87588</v>
      </c>
      <c r="AL6" s="11">
        <v>46.966209399999997</v>
      </c>
      <c r="AM6" s="11">
        <v>4674.5031509999999</v>
      </c>
      <c r="AN6" s="11">
        <v>9.9</v>
      </c>
      <c r="AO6" s="11">
        <v>71.622</v>
      </c>
      <c r="AP6" s="19">
        <v>18.899763799999999</v>
      </c>
    </row>
    <row r="7" spans="1:42">
      <c r="A7">
        <v>274</v>
      </c>
      <c r="B7" s="12" t="s">
        <v>53</v>
      </c>
      <c r="C7" t="s">
        <v>54</v>
      </c>
      <c r="D7" t="s">
        <v>55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>
        <v>2008</v>
      </c>
      <c r="L7">
        <v>0.58670847613305899</v>
      </c>
      <c r="M7" s="7">
        <v>10.24573741</v>
      </c>
      <c r="N7" s="7">
        <f t="shared" si="0"/>
        <v>2.5375755419762027E-4</v>
      </c>
      <c r="O7" s="8">
        <v>31.541590530000001</v>
      </c>
      <c r="P7" s="8">
        <f t="shared" si="1"/>
        <v>7.8119480795825122E-4</v>
      </c>
      <c r="Q7" s="8">
        <v>1.035458271</v>
      </c>
      <c r="R7" s="8">
        <f t="shared" si="2"/>
        <v>2.5645334035811157E-5</v>
      </c>
      <c r="S7" s="8">
        <v>71.704589179999999</v>
      </c>
      <c r="T7" s="8">
        <f t="shared" si="3"/>
        <v>1.7759171884790617E-3</v>
      </c>
      <c r="U7" s="8">
        <v>0.32519171600000002</v>
      </c>
      <c r="V7" s="8">
        <f t="shared" si="4"/>
        <v>8.0540668958533395E-6</v>
      </c>
      <c r="W7" s="8">
        <v>0.115487202</v>
      </c>
      <c r="X7" s="8">
        <f t="shared" si="5"/>
        <v>1.9947615628339267E-10</v>
      </c>
      <c r="Y7" s="8">
        <v>0.110250555</v>
      </c>
      <c r="Z7" s="8">
        <f t="shared" si="6"/>
        <v>2.7305902997693759E-6</v>
      </c>
      <c r="AA7" s="8">
        <v>0.90519155600000001</v>
      </c>
      <c r="AB7" s="8">
        <f t="shared" si="7"/>
        <v>2.2419000813617199E-5</v>
      </c>
      <c r="AC7" s="8">
        <v>20.676820129999999</v>
      </c>
      <c r="AD7" s="18">
        <f t="shared" si="8"/>
        <v>5.1210558057557319E-4</v>
      </c>
      <c r="AE7" s="9">
        <v>95.6</v>
      </c>
      <c r="AF7" s="10">
        <v>95.1</v>
      </c>
      <c r="AG7" s="10">
        <v>85.1</v>
      </c>
      <c r="AH7" s="10">
        <v>95.6</v>
      </c>
      <c r="AI7" s="10">
        <v>96.2</v>
      </c>
      <c r="AJ7" s="10">
        <v>95.2</v>
      </c>
      <c r="AK7" s="11">
        <v>40376.088280000004</v>
      </c>
      <c r="AL7" s="11">
        <v>6.6289000500000004</v>
      </c>
      <c r="AM7" s="11">
        <v>17369.892739999999</v>
      </c>
      <c r="AN7" s="11">
        <v>21.6</v>
      </c>
      <c r="AO7" s="11">
        <v>80.578000000000003</v>
      </c>
      <c r="AP7" s="19">
        <v>4.5151371400000002</v>
      </c>
    </row>
    <row r="8" spans="1:42">
      <c r="A8">
        <v>286</v>
      </c>
      <c r="B8" s="12" t="s">
        <v>56</v>
      </c>
      <c r="C8" t="s">
        <v>57</v>
      </c>
      <c r="D8" t="s">
        <v>58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>
        <v>2008</v>
      </c>
      <c r="L8">
        <v>6.7332979045676006E-2</v>
      </c>
      <c r="M8" s="7">
        <v>744.76423260000001</v>
      </c>
      <c r="N8" s="7">
        <f t="shared" si="0"/>
        <v>4.5479105470844973E-2</v>
      </c>
      <c r="O8" s="8">
        <v>8.6201123519999996</v>
      </c>
      <c r="P8" s="8">
        <f t="shared" si="1"/>
        <v>5.2638805902175583E-4</v>
      </c>
      <c r="Q8" s="8">
        <v>1.0494469310000001</v>
      </c>
      <c r="R8" s="8">
        <f t="shared" si="2"/>
        <v>6.4084586197679826E-5</v>
      </c>
      <c r="S8" s="8">
        <v>1.9936897760000001</v>
      </c>
      <c r="T8" s="8">
        <f t="shared" si="3"/>
        <v>1.217448739211235E-4</v>
      </c>
      <c r="U8" s="8">
        <v>7.1583244000000004E-2</v>
      </c>
      <c r="V8" s="8">
        <f t="shared" si="4"/>
        <v>4.3712382540928575E-6</v>
      </c>
      <c r="W8" s="8">
        <v>3.3169737999999997E-2</v>
      </c>
      <c r="X8" s="8">
        <f t="shared" si="5"/>
        <v>2.6693011948501203E-10</v>
      </c>
      <c r="Y8" s="8">
        <v>7.8131658000000007E-2</v>
      </c>
      <c r="Z8" s="8">
        <f t="shared" si="6"/>
        <v>4.7711178373712742E-6</v>
      </c>
      <c r="AA8" s="8">
        <v>6.8757843999999999E-2</v>
      </c>
      <c r="AB8" s="8">
        <f t="shared" si="7"/>
        <v>4.1987049086759608E-6</v>
      </c>
      <c r="AC8" s="8">
        <v>12.31352935</v>
      </c>
      <c r="AD8" s="18">
        <f t="shared" si="8"/>
        <v>7.519269528720318E-4</v>
      </c>
      <c r="AE8" s="9">
        <v>88.3</v>
      </c>
      <c r="AF8" s="10">
        <v>82</v>
      </c>
      <c r="AG8" s="10">
        <v>58.7</v>
      </c>
      <c r="AH8" s="10">
        <v>92.7</v>
      </c>
      <c r="AI8" s="10">
        <v>88</v>
      </c>
      <c r="AJ8" s="10">
        <v>80.3</v>
      </c>
      <c r="AK8" s="11">
        <v>16375.96485</v>
      </c>
      <c r="AL8" s="11">
        <v>20.736127799999998</v>
      </c>
      <c r="AM8" s="11">
        <v>3312.3724539999998</v>
      </c>
      <c r="AN8" s="11">
        <v>30.8</v>
      </c>
      <c r="AO8" s="11">
        <v>86.959000000000003</v>
      </c>
      <c r="AP8" s="19">
        <v>10.457111299999999</v>
      </c>
    </row>
    <row r="9" spans="1:42">
      <c r="A9">
        <v>355</v>
      </c>
      <c r="B9" s="12" t="s">
        <v>59</v>
      </c>
      <c r="C9" t="s">
        <v>60</v>
      </c>
      <c r="D9" t="s">
        <v>61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>
        <v>2008</v>
      </c>
      <c r="L9">
        <v>7.7203092018776606E-2</v>
      </c>
      <c r="M9" s="7">
        <v>0.25578793599999999</v>
      </c>
      <c r="N9" s="7">
        <f t="shared" si="0"/>
        <v>1.2168905535789551E-5</v>
      </c>
      <c r="O9" s="8">
        <v>1.4912137590000001</v>
      </c>
      <c r="P9" s="8">
        <f t="shared" si="1"/>
        <v>7.0943296430292342E-5</v>
      </c>
      <c r="Q9" s="8">
        <v>0.38132304500000003</v>
      </c>
      <c r="R9" s="8">
        <f t="shared" si="2"/>
        <v>1.8141137482045393E-5</v>
      </c>
      <c r="S9" s="8">
        <v>0.35465648700000002</v>
      </c>
      <c r="T9" s="8">
        <f t="shared" si="3"/>
        <v>1.6872497411128783E-5</v>
      </c>
      <c r="U9" s="8">
        <v>6.3880610000000004E-3</v>
      </c>
      <c r="V9" s="8">
        <f t="shared" si="4"/>
        <v>3.0390686942272889E-7</v>
      </c>
      <c r="W9" s="8">
        <v>4.0805240000000003E-3</v>
      </c>
      <c r="X9" s="8">
        <f t="shared" si="5"/>
        <v>1.445812513097849E-11</v>
      </c>
      <c r="Y9" s="8">
        <v>1.2946030000000001E-3</v>
      </c>
      <c r="Z9" s="8">
        <f t="shared" si="6"/>
        <v>6.1589697542849556E-8</v>
      </c>
      <c r="AA9" s="8">
        <v>1.9480114E-2</v>
      </c>
      <c r="AB9" s="8">
        <f t="shared" si="7"/>
        <v>9.2675077175028114E-7</v>
      </c>
      <c r="AC9" s="8">
        <v>1.4542507469999999</v>
      </c>
      <c r="AD9" s="18">
        <f t="shared" si="8"/>
        <v>6.9184810833277088E-5</v>
      </c>
      <c r="AE9" s="9">
        <v>56.3</v>
      </c>
      <c r="AF9" s="10">
        <v>70.900000000000006</v>
      </c>
      <c r="AG9" s="10">
        <v>66.3</v>
      </c>
      <c r="AH9" s="10">
        <v>64.099999999999994</v>
      </c>
      <c r="AI9" s="10">
        <v>55.8</v>
      </c>
      <c r="AJ9" s="10">
        <v>60.6</v>
      </c>
      <c r="AK9" s="11">
        <v>21019.797979999999</v>
      </c>
      <c r="AL9" s="11">
        <v>23.034450700000001</v>
      </c>
      <c r="AM9" s="11">
        <v>3990.2963199999999</v>
      </c>
      <c r="AN9" s="11">
        <v>24.1</v>
      </c>
      <c r="AO9" s="11">
        <v>54.819000000000003</v>
      </c>
      <c r="AP9" s="19">
        <v>7.6660542200000004</v>
      </c>
    </row>
    <row r="10" spans="1:42">
      <c r="A10">
        <v>369</v>
      </c>
      <c r="B10" s="12" t="s">
        <v>62</v>
      </c>
      <c r="C10" t="s">
        <v>63</v>
      </c>
      <c r="D10" t="s">
        <v>64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>
        <v>2008</v>
      </c>
      <c r="L10">
        <v>0.27091574783267403</v>
      </c>
      <c r="M10" s="7">
        <v>9.6107253870000005</v>
      </c>
      <c r="N10" s="7">
        <f t="shared" si="0"/>
        <v>2.7593119011319259E-4</v>
      </c>
      <c r="O10" s="8">
        <v>0.348435991</v>
      </c>
      <c r="P10" s="8">
        <f t="shared" si="1"/>
        <v>1.0003860666433134E-5</v>
      </c>
      <c r="Q10" s="8">
        <v>5.8605000000000003E-3</v>
      </c>
      <c r="R10" s="8">
        <f t="shared" si="2"/>
        <v>1.6825938465016773E-7</v>
      </c>
      <c r="S10" s="8">
        <v>8.968742E-3</v>
      </c>
      <c r="T10" s="8">
        <f t="shared" si="3"/>
        <v>2.5749936183023886E-7</v>
      </c>
      <c r="U10" s="8">
        <v>1.4648090000000001E-3</v>
      </c>
      <c r="V10" s="8">
        <f t="shared" si="4"/>
        <v>4.2055773563693809E-8</v>
      </c>
      <c r="W10" s="8">
        <v>1.833683E-3</v>
      </c>
      <c r="X10" s="8">
        <f t="shared" si="5"/>
        <v>1.2074530468072541E-12</v>
      </c>
      <c r="Y10" s="8"/>
      <c r="Z10" s="8">
        <f t="shared" si="6"/>
        <v>0</v>
      </c>
      <c r="AA10" s="8">
        <v>6.0281930000000003E-3</v>
      </c>
      <c r="AB10" s="8">
        <f t="shared" si="7"/>
        <v>1.730739774306712E-7</v>
      </c>
      <c r="AC10" s="8">
        <v>0.25564209599999999</v>
      </c>
      <c r="AD10" s="18">
        <f t="shared" si="8"/>
        <v>7.3396778028562588E-6</v>
      </c>
      <c r="AE10" s="9">
        <v>84</v>
      </c>
      <c r="AF10" s="10">
        <v>89.8</v>
      </c>
      <c r="AG10" s="10">
        <v>68.8</v>
      </c>
      <c r="AH10" s="10">
        <v>88.3</v>
      </c>
      <c r="AI10" s="10">
        <v>87.5</v>
      </c>
      <c r="AJ10" s="10">
        <v>84.6</v>
      </c>
      <c r="AK10" s="11">
        <v>34830.152340000001</v>
      </c>
      <c r="AL10" s="11">
        <v>12.5108225</v>
      </c>
      <c r="AM10" s="11">
        <v>4514.0995720000001</v>
      </c>
      <c r="AN10" s="11">
        <v>5.7</v>
      </c>
      <c r="AO10" s="11">
        <v>67.838999999999999</v>
      </c>
      <c r="AP10" s="19">
        <v>44.5459751</v>
      </c>
    </row>
    <row r="11" spans="1:42">
      <c r="A11">
        <v>383</v>
      </c>
      <c r="B11" s="12" t="s">
        <v>65</v>
      </c>
      <c r="C11" t="s">
        <v>66</v>
      </c>
      <c r="D11" t="s">
        <v>67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>
        <v>2008</v>
      </c>
      <c r="L11">
        <v>0.90811949956219096</v>
      </c>
      <c r="M11" s="7">
        <v>9.6107253870000005</v>
      </c>
      <c r="N11" s="7">
        <f t="shared" si="0"/>
        <v>3.4400386167699213E-4</v>
      </c>
      <c r="O11" s="8">
        <v>5.1602284359999997</v>
      </c>
      <c r="P11" s="8">
        <f t="shared" si="1"/>
        <v>1.8470390502683346E-4</v>
      </c>
      <c r="Q11" s="8">
        <v>0.75423845599999995</v>
      </c>
      <c r="R11" s="8">
        <f t="shared" si="2"/>
        <v>2.6997019584000738E-5</v>
      </c>
      <c r="S11" s="8">
        <v>4.217592239</v>
      </c>
      <c r="T11" s="8">
        <f t="shared" si="3"/>
        <v>1.5096342458785015E-4</v>
      </c>
      <c r="U11" s="8">
        <v>3.4840129999999997E-2</v>
      </c>
      <c r="V11" s="8">
        <f t="shared" si="4"/>
        <v>1.2470587576604973E-6</v>
      </c>
      <c r="W11" s="8">
        <v>3.3897897000000003E-2</v>
      </c>
      <c r="X11" s="8">
        <f t="shared" si="5"/>
        <v>4.4636904198053887E-11</v>
      </c>
      <c r="Y11" s="8">
        <v>1.5210523E-2</v>
      </c>
      <c r="Z11" s="8">
        <f t="shared" si="6"/>
        <v>5.4444159409699166E-7</v>
      </c>
      <c r="AA11" s="8">
        <v>5.9247939999999999E-2</v>
      </c>
      <c r="AB11" s="8">
        <f t="shared" si="7"/>
        <v>2.1207057048967295E-6</v>
      </c>
      <c r="AC11" s="8">
        <v>4.8727982059999997</v>
      </c>
      <c r="AD11" s="18">
        <f t="shared" si="8"/>
        <v>1.7441570043236521E-4</v>
      </c>
      <c r="AE11" s="9">
        <v>66</v>
      </c>
      <c r="AF11" s="10">
        <v>79.099999999999994</v>
      </c>
      <c r="AG11" s="10">
        <v>85.6</v>
      </c>
      <c r="AH11" s="10">
        <v>86.4</v>
      </c>
      <c r="AI11" s="10">
        <v>78.400000000000006</v>
      </c>
      <c r="AJ11" s="10">
        <v>81.7</v>
      </c>
      <c r="AK11" s="11">
        <v>27937.841570000001</v>
      </c>
      <c r="AL11" s="11">
        <v>46.240419500000002</v>
      </c>
      <c r="AM11" s="11">
        <v>6501.5484939999997</v>
      </c>
      <c r="AN11" s="11">
        <v>9</v>
      </c>
      <c r="AO11" s="11">
        <v>73.394000000000005</v>
      </c>
      <c r="AP11" s="19">
        <v>3.7273401700000002</v>
      </c>
    </row>
    <row r="12" spans="1:42">
      <c r="A12">
        <v>397</v>
      </c>
      <c r="B12" s="12" t="s">
        <v>68</v>
      </c>
      <c r="C12" t="s">
        <v>69</v>
      </c>
      <c r="D12" t="s">
        <v>70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J12" t="s">
        <v>40</v>
      </c>
      <c r="K12">
        <v>2008</v>
      </c>
      <c r="L12">
        <v>0.455350352767462</v>
      </c>
      <c r="M12" s="7">
        <v>744.76423260000001</v>
      </c>
      <c r="N12" s="7">
        <f t="shared" si="0"/>
        <v>1.7960240589738507E-2</v>
      </c>
      <c r="O12" s="8">
        <v>6.6880091009999996</v>
      </c>
      <c r="P12" s="8">
        <f t="shared" si="1"/>
        <v>1.6128359454237401E-4</v>
      </c>
      <c r="Q12" s="8">
        <v>0.36828018299999998</v>
      </c>
      <c r="R12" s="8">
        <f t="shared" si="2"/>
        <v>8.8812007902444557E-6</v>
      </c>
      <c r="S12" s="8">
        <v>0.42840782700000002</v>
      </c>
      <c r="T12" s="8">
        <f t="shared" si="3"/>
        <v>1.0331199199223028E-5</v>
      </c>
      <c r="U12" s="8">
        <v>1.2292938E-2</v>
      </c>
      <c r="V12" s="8">
        <f t="shared" si="4"/>
        <v>2.9644834481910231E-7</v>
      </c>
      <c r="W12" s="8">
        <v>6.7941314000000003E-2</v>
      </c>
      <c r="X12" s="8">
        <f t="shared" si="5"/>
        <v>7.1489517921578536E-12</v>
      </c>
      <c r="Y12" s="13">
        <v>1.7135999999999999E-7</v>
      </c>
      <c r="Z12" s="8">
        <f t="shared" si="6"/>
        <v>4.1324041793915637E-12</v>
      </c>
      <c r="AA12" s="8">
        <v>3.0774006E-2</v>
      </c>
      <c r="AB12" s="8">
        <f t="shared" si="7"/>
        <v>7.4212553111006688E-7</v>
      </c>
      <c r="AC12" s="8">
        <v>1.345809732</v>
      </c>
      <c r="AD12" s="18">
        <f t="shared" si="8"/>
        <v>3.2454655469086368E-5</v>
      </c>
      <c r="AE12" s="9">
        <v>100</v>
      </c>
      <c r="AF12" s="10">
        <v>99.5</v>
      </c>
      <c r="AG12" s="10">
        <v>86.1</v>
      </c>
      <c r="AH12" s="10">
        <v>99</v>
      </c>
      <c r="AI12" s="10">
        <v>99.5</v>
      </c>
      <c r="AJ12" s="10">
        <v>99</v>
      </c>
      <c r="AK12" s="11">
        <v>41467.386189999997</v>
      </c>
      <c r="AL12" s="11">
        <v>66.7</v>
      </c>
      <c r="AM12" s="11">
        <v>6534.1238499999999</v>
      </c>
      <c r="AN12" s="11">
        <v>18.5</v>
      </c>
      <c r="AO12" s="11">
        <v>86.486999999999995</v>
      </c>
      <c r="AP12" s="19">
        <v>0.61727953999999996</v>
      </c>
    </row>
    <row r="13" spans="1:42">
      <c r="A13">
        <v>439</v>
      </c>
      <c r="B13" s="12" t="s">
        <v>71</v>
      </c>
      <c r="C13" t="s">
        <v>72</v>
      </c>
      <c r="D13" t="s">
        <v>73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  <c r="K13">
        <v>2008</v>
      </c>
      <c r="L13">
        <v>3.4469556966594699E-2</v>
      </c>
      <c r="M13" s="7">
        <v>284.67438390000001</v>
      </c>
      <c r="N13" s="7">
        <f t="shared" si="0"/>
        <v>4.6103417717730882E-2</v>
      </c>
      <c r="O13" s="8">
        <v>2.4306880450000001</v>
      </c>
      <c r="P13" s="8">
        <f t="shared" si="1"/>
        <v>3.9365335491336296E-4</v>
      </c>
      <c r="Q13" s="8">
        <v>0.12187097700000001</v>
      </c>
      <c r="R13" s="8">
        <f t="shared" si="2"/>
        <v>1.9737176500828717E-5</v>
      </c>
      <c r="S13" s="8">
        <v>2.9783915000000001E-2</v>
      </c>
      <c r="T13" s="8">
        <f t="shared" si="3"/>
        <v>4.8235470143205623E-6</v>
      </c>
      <c r="U13" s="8">
        <v>8.0892059999999998E-3</v>
      </c>
      <c r="V13" s="8">
        <f t="shared" si="4"/>
        <v>1.3100583133387258E-6</v>
      </c>
      <c r="W13" s="8">
        <v>4.5474579999999999E-3</v>
      </c>
      <c r="X13" s="8">
        <f t="shared" si="5"/>
        <v>2.1216579035666877E-10</v>
      </c>
      <c r="Y13" s="8"/>
      <c r="Z13" s="8">
        <f t="shared" si="6"/>
        <v>0</v>
      </c>
      <c r="AA13" s="8">
        <v>1.3219941000000001E-2</v>
      </c>
      <c r="AB13" s="8">
        <f t="shared" si="7"/>
        <v>2.140988078298101E-6</v>
      </c>
      <c r="AC13" s="8">
        <v>1.084449301</v>
      </c>
      <c r="AD13" s="18">
        <f t="shared" si="8"/>
        <v>1.7562809281521823E-4</v>
      </c>
      <c r="AE13" s="9">
        <v>41.3</v>
      </c>
      <c r="AF13" s="10">
        <v>49</v>
      </c>
      <c r="AG13" s="10">
        <v>45.2</v>
      </c>
      <c r="AH13" s="10">
        <v>57.3</v>
      </c>
      <c r="AI13" s="10">
        <v>28.4</v>
      </c>
      <c r="AJ13" s="10">
        <v>51</v>
      </c>
      <c r="AK13" s="11">
        <v>6174.6915520000002</v>
      </c>
      <c r="AL13" s="11">
        <v>59.724903500000003</v>
      </c>
      <c r="AM13" s="11">
        <v>870.25071079999998</v>
      </c>
      <c r="AN13" s="11">
        <v>31.5</v>
      </c>
      <c r="AO13" s="11">
        <v>63.677999999999997</v>
      </c>
      <c r="AP13" s="19">
        <v>5.0206011200000003</v>
      </c>
    </row>
    <row r="14" spans="1:42">
      <c r="A14">
        <v>461</v>
      </c>
      <c r="B14" s="12" t="s">
        <v>74</v>
      </c>
      <c r="C14" t="s">
        <v>75</v>
      </c>
      <c r="D14" t="s">
        <v>76</v>
      </c>
      <c r="E14" t="s">
        <v>35</v>
      </c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>
        <v>2008</v>
      </c>
      <c r="L14">
        <v>1.07533546314343</v>
      </c>
      <c r="M14" s="7">
        <v>5.4750705230000003</v>
      </c>
      <c r="N14" s="7">
        <f t="shared" si="0"/>
        <v>2.4009760994143597E-4</v>
      </c>
      <c r="O14" s="8">
        <v>0.79228768599999999</v>
      </c>
      <c r="P14" s="8">
        <f t="shared" si="1"/>
        <v>3.4744096719031592E-5</v>
      </c>
      <c r="Q14" s="8">
        <v>0.15075069699999999</v>
      </c>
      <c r="R14" s="8">
        <f t="shared" si="2"/>
        <v>6.6108522063151506E-6</v>
      </c>
      <c r="S14" s="8">
        <v>3.7415951000000003E-2</v>
      </c>
      <c r="T14" s="8">
        <f t="shared" si="3"/>
        <v>1.640797204537831E-6</v>
      </c>
      <c r="U14" s="8">
        <v>5.826983E-3</v>
      </c>
      <c r="V14" s="8">
        <f t="shared" si="4"/>
        <v>2.5552998552113412E-7</v>
      </c>
      <c r="W14" s="8">
        <v>1.3009451999999999E-2</v>
      </c>
      <c r="X14" s="8">
        <f t="shared" si="5"/>
        <v>1.1205725759013028E-11</v>
      </c>
      <c r="Y14" s="14">
        <v>2.5112499999999999E-6</v>
      </c>
      <c r="Z14" s="8">
        <f t="shared" si="6"/>
        <v>1.1012554458112338E-10</v>
      </c>
      <c r="AA14" s="8">
        <v>4.4921229999999998E-3</v>
      </c>
      <c r="AB14" s="8">
        <f t="shared" si="7"/>
        <v>1.9699253029383362E-7</v>
      </c>
      <c r="AC14" s="8">
        <v>1.471818361</v>
      </c>
      <c r="AD14" s="18">
        <f t="shared" si="8"/>
        <v>6.4543473779839303E-5</v>
      </c>
      <c r="AE14" s="9">
        <v>80.099999999999994</v>
      </c>
      <c r="AF14" s="10">
        <v>84.5</v>
      </c>
      <c r="AG14" s="10">
        <v>65.900000000000006</v>
      </c>
      <c r="AH14" s="10">
        <v>89.3</v>
      </c>
      <c r="AI14" s="10">
        <v>85.6</v>
      </c>
      <c r="AJ14" s="10">
        <v>85.6</v>
      </c>
      <c r="AK14" s="11">
        <v>22803.519469999999</v>
      </c>
      <c r="AL14" s="11">
        <v>21.3918377</v>
      </c>
      <c r="AM14" s="11">
        <v>6364.56783</v>
      </c>
      <c r="AN14" s="11">
        <v>20.5</v>
      </c>
      <c r="AO14" s="11">
        <v>68.350999999999999</v>
      </c>
      <c r="AP14" s="19">
        <v>8.1225397200000007</v>
      </c>
    </row>
    <row r="15" spans="1:42">
      <c r="A15">
        <v>491</v>
      </c>
      <c r="B15" s="12" t="s">
        <v>77</v>
      </c>
      <c r="C15" t="s">
        <v>78</v>
      </c>
      <c r="D15" t="s">
        <v>79</v>
      </c>
      <c r="E15" t="s">
        <v>35</v>
      </c>
      <c r="F15" t="s">
        <v>36</v>
      </c>
      <c r="G15" t="s">
        <v>37</v>
      </c>
      <c r="H15" t="s">
        <v>38</v>
      </c>
      <c r="I15" t="s">
        <v>39</v>
      </c>
      <c r="J15" t="s">
        <v>40</v>
      </c>
      <c r="K15">
        <v>2008</v>
      </c>
      <c r="L15">
        <v>0.30576789437109098</v>
      </c>
      <c r="M15" s="7">
        <v>16.982529849999999</v>
      </c>
      <c r="N15" s="7">
        <f t="shared" si="0"/>
        <v>4.2370290426217981E-4</v>
      </c>
      <c r="O15" s="8">
        <v>2.6152691429999999</v>
      </c>
      <c r="P15" s="8">
        <f t="shared" si="1"/>
        <v>6.5249237958287011E-5</v>
      </c>
      <c r="Q15" s="8">
        <v>0.52241714500000003</v>
      </c>
      <c r="R15" s="8">
        <f t="shared" si="2"/>
        <v>1.3033962756311972E-5</v>
      </c>
      <c r="S15" s="8">
        <v>0.11801967200000001</v>
      </c>
      <c r="T15" s="8">
        <f t="shared" si="3"/>
        <v>2.9445128745921136E-6</v>
      </c>
      <c r="U15" s="8">
        <v>0.13483192699999999</v>
      </c>
      <c r="V15" s="8">
        <f t="shared" si="4"/>
        <v>3.3639675337986362E-6</v>
      </c>
      <c r="W15" s="8">
        <v>0.12099824000000001</v>
      </c>
      <c r="X15" s="8">
        <f t="shared" si="5"/>
        <v>8.392876835804089E-11</v>
      </c>
      <c r="Y15" s="8">
        <v>1.6656198000000001E-2</v>
      </c>
      <c r="Z15" s="8">
        <f t="shared" si="6"/>
        <v>4.1556114011870336E-7</v>
      </c>
      <c r="AA15" s="8">
        <v>3.7423789999999998E-2</v>
      </c>
      <c r="AB15" s="8">
        <f t="shared" si="7"/>
        <v>9.3369884531649587E-7</v>
      </c>
      <c r="AC15" s="8">
        <v>4.7585789260000002</v>
      </c>
      <c r="AD15" s="18">
        <f t="shared" si="8"/>
        <v>1.1872340157299973E-4</v>
      </c>
      <c r="AE15" s="9">
        <v>99</v>
      </c>
      <c r="AF15" s="10">
        <v>99</v>
      </c>
      <c r="AG15" s="10">
        <v>99.5</v>
      </c>
      <c r="AH15" s="10">
        <v>94.7</v>
      </c>
      <c r="AI15" s="10">
        <v>98.1</v>
      </c>
      <c r="AJ15" s="10">
        <v>96.6</v>
      </c>
      <c r="AK15" s="11">
        <v>40081.221250000002</v>
      </c>
      <c r="AL15" s="11">
        <v>7.5564330399999999</v>
      </c>
      <c r="AM15" s="11">
        <v>16349.986140000001</v>
      </c>
      <c r="AN15" s="11">
        <v>34.6</v>
      </c>
      <c r="AO15" s="11">
        <v>83.299000000000007</v>
      </c>
      <c r="AP15" s="19">
        <v>6.79270043</v>
      </c>
    </row>
    <row r="16" spans="1:42">
      <c r="A16">
        <v>505</v>
      </c>
      <c r="B16" s="12" t="s">
        <v>80</v>
      </c>
      <c r="C16" t="s">
        <v>81</v>
      </c>
      <c r="D16" t="s">
        <v>82</v>
      </c>
      <c r="E16" t="s">
        <v>35</v>
      </c>
      <c r="F16" t="s">
        <v>36</v>
      </c>
      <c r="G16" t="s">
        <v>37</v>
      </c>
      <c r="H16" t="s">
        <v>38</v>
      </c>
      <c r="I16" t="s">
        <v>39</v>
      </c>
      <c r="J16" t="s">
        <v>40</v>
      </c>
      <c r="K16">
        <v>2008</v>
      </c>
      <c r="L16">
        <v>0.89315291259699403</v>
      </c>
      <c r="M16" s="7">
        <v>0.16269436700000001</v>
      </c>
      <c r="N16" s="7">
        <f t="shared" si="0"/>
        <v>4.6413473218168226E-6</v>
      </c>
      <c r="O16" s="8">
        <v>49.620095970000001</v>
      </c>
      <c r="P16" s="8">
        <f t="shared" si="1"/>
        <v>1.4155628359195326E-3</v>
      </c>
      <c r="Q16" s="8">
        <v>2.618277483</v>
      </c>
      <c r="R16" s="8">
        <f t="shared" si="2"/>
        <v>7.4694258981291843E-5</v>
      </c>
      <c r="S16" s="8">
        <v>3.4075706700000001</v>
      </c>
      <c r="T16" s="8">
        <f t="shared" si="3"/>
        <v>9.721122676058019E-5</v>
      </c>
      <c r="U16" s="8">
        <v>0.101567881</v>
      </c>
      <c r="V16" s="8">
        <f t="shared" si="4"/>
        <v>2.8975300199665776E-6</v>
      </c>
      <c r="W16" s="8">
        <v>0.14093234800000001</v>
      </c>
      <c r="X16" s="8">
        <f t="shared" si="5"/>
        <v>8.2660779509690824E-11</v>
      </c>
      <c r="Y16" s="8">
        <v>7.0732211000000003E-2</v>
      </c>
      <c r="Z16" s="8">
        <f t="shared" si="6"/>
        <v>2.0178495675331673E-6</v>
      </c>
      <c r="AA16" s="8">
        <v>0.24835016100000001</v>
      </c>
      <c r="AB16" s="8">
        <f t="shared" si="7"/>
        <v>7.084937087158812E-6</v>
      </c>
      <c r="AC16" s="8">
        <v>23.27418411</v>
      </c>
      <c r="AD16" s="18">
        <f t="shared" si="8"/>
        <v>6.639662704881488E-4</v>
      </c>
      <c r="AE16" s="9">
        <v>91.3</v>
      </c>
      <c r="AF16" s="10">
        <v>91.7</v>
      </c>
      <c r="AG16" s="10">
        <v>64.900000000000006</v>
      </c>
      <c r="AH16" s="10">
        <v>87.4</v>
      </c>
      <c r="AI16" s="10">
        <v>90.9</v>
      </c>
      <c r="AJ16" s="10">
        <v>91.3</v>
      </c>
      <c r="AK16" s="11">
        <v>35053.262710000003</v>
      </c>
      <c r="AL16" s="11">
        <v>53.163597600000003</v>
      </c>
      <c r="AM16" s="11">
        <v>7647.939617</v>
      </c>
      <c r="AN16" s="11">
        <v>10.5</v>
      </c>
      <c r="AO16" s="11">
        <v>77.867999999999995</v>
      </c>
      <c r="AP16" s="19">
        <v>2.323267</v>
      </c>
    </row>
    <row r="17" spans="1:42">
      <c r="A17">
        <v>519</v>
      </c>
      <c r="B17" s="12" t="s">
        <v>83</v>
      </c>
      <c r="C17" t="s">
        <v>84</v>
      </c>
      <c r="D17" t="s">
        <v>85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>
        <v>2008</v>
      </c>
      <c r="L17">
        <v>0.448739923786378</v>
      </c>
      <c r="M17" s="7">
        <v>21.023565210000001</v>
      </c>
      <c r="N17" s="7">
        <f t="shared" si="0"/>
        <v>2.8883827782131555E-3</v>
      </c>
      <c r="O17" s="8">
        <v>2.3660025</v>
      </c>
      <c r="P17" s="8">
        <f t="shared" si="1"/>
        <v>3.2506003648509013E-4</v>
      </c>
      <c r="Q17" s="8">
        <v>0.14176512199999999</v>
      </c>
      <c r="R17" s="8">
        <f t="shared" si="2"/>
        <v>1.9476807708205401E-5</v>
      </c>
      <c r="S17" s="8">
        <v>0.10903228299999999</v>
      </c>
      <c r="T17" s="8">
        <f t="shared" si="3"/>
        <v>1.4979712781382382E-5</v>
      </c>
      <c r="U17" s="8">
        <v>6.3625900000000002E-4</v>
      </c>
      <c r="V17" s="8">
        <f t="shared" si="4"/>
        <v>8.7414266787109049E-8</v>
      </c>
      <c r="W17" s="8">
        <v>5.0103699999999997E-4</v>
      </c>
      <c r="X17" s="8">
        <f t="shared" si="5"/>
        <v>1.2009659647923056E-11</v>
      </c>
      <c r="Y17" s="8">
        <v>3.8575599999999999E-3</v>
      </c>
      <c r="Z17" s="8">
        <f t="shared" si="6"/>
        <v>5.299819397246724E-7</v>
      </c>
      <c r="AA17" s="8">
        <v>1.3192712000000001E-2</v>
      </c>
      <c r="AB17" s="8">
        <f t="shared" si="7"/>
        <v>1.8125185599158439E-6</v>
      </c>
      <c r="AC17" s="8">
        <v>1.4348323350000001</v>
      </c>
      <c r="AD17" s="18">
        <f t="shared" si="8"/>
        <v>1.9712855382235947E-4</v>
      </c>
      <c r="AE17" s="9">
        <v>53.9</v>
      </c>
      <c r="AF17" s="10">
        <v>63.6</v>
      </c>
      <c r="AG17" s="10">
        <v>16.8</v>
      </c>
      <c r="AH17" s="10">
        <v>65.5</v>
      </c>
      <c r="AI17" s="10">
        <v>47.6</v>
      </c>
      <c r="AJ17" s="10">
        <v>39.4</v>
      </c>
      <c r="AK17" s="11">
        <v>7278.6631219999999</v>
      </c>
      <c r="AL17" s="11">
        <v>36.177867300000003</v>
      </c>
      <c r="AM17" s="11">
        <v>1881.5372110000001</v>
      </c>
      <c r="AN17" s="11">
        <v>36.299999999999997</v>
      </c>
      <c r="AO17" s="11">
        <v>54.765000000000001</v>
      </c>
      <c r="AP17" s="19">
        <v>12.5221906</v>
      </c>
    </row>
    <row r="18" spans="1:42">
      <c r="A18">
        <v>533</v>
      </c>
      <c r="B18" s="12" t="s">
        <v>86</v>
      </c>
      <c r="C18" t="s">
        <v>87</v>
      </c>
      <c r="D18" t="s">
        <v>88</v>
      </c>
      <c r="E18" t="s">
        <v>35</v>
      </c>
      <c r="F18" t="s">
        <v>36</v>
      </c>
      <c r="G18" t="s">
        <v>37</v>
      </c>
      <c r="H18" t="s">
        <v>38</v>
      </c>
      <c r="I18" t="s">
        <v>39</v>
      </c>
      <c r="J18" t="s">
        <v>40</v>
      </c>
      <c r="K18">
        <v>2008</v>
      </c>
      <c r="L18">
        <v>0.50862167139866998</v>
      </c>
      <c r="M18" s="7">
        <v>11.628297480000001</v>
      </c>
      <c r="N18" s="7">
        <f t="shared" si="0"/>
        <v>3.0247729252805256E-4</v>
      </c>
      <c r="O18" s="8">
        <v>39.169462109999998</v>
      </c>
      <c r="P18" s="8">
        <f t="shared" si="1"/>
        <v>1.0188828475699557E-3</v>
      </c>
      <c r="Q18" s="8">
        <v>3.3080516179999999</v>
      </c>
      <c r="R18" s="8">
        <f t="shared" si="2"/>
        <v>8.6049612909944547E-5</v>
      </c>
      <c r="S18" s="8">
        <v>13.94081821</v>
      </c>
      <c r="T18" s="8">
        <f t="shared" si="3"/>
        <v>3.6263098317180066E-4</v>
      </c>
      <c r="U18" s="8">
        <v>0.17621573200000001</v>
      </c>
      <c r="V18" s="8">
        <f t="shared" si="4"/>
        <v>4.5837542088929184E-6</v>
      </c>
      <c r="W18" s="8">
        <v>0.38967327899999998</v>
      </c>
      <c r="X18" s="8">
        <f t="shared" si="5"/>
        <v>1.1923341014492135E-10</v>
      </c>
      <c r="Y18" s="8">
        <v>0.27771773100000002</v>
      </c>
      <c r="Z18" s="8">
        <f t="shared" si="6"/>
        <v>7.224041825933234E-6</v>
      </c>
      <c r="AA18" s="8">
        <v>0.36942347599999997</v>
      </c>
      <c r="AB18" s="8">
        <f t="shared" si="7"/>
        <v>9.6095075834594139E-6</v>
      </c>
      <c r="AC18" s="8">
        <v>21.812102360000001</v>
      </c>
      <c r="AD18" s="18">
        <f t="shared" si="8"/>
        <v>5.6738019280510752E-4</v>
      </c>
      <c r="AE18" s="9">
        <v>93.2</v>
      </c>
      <c r="AF18" s="10">
        <v>89.3</v>
      </c>
      <c r="AG18" s="10">
        <v>79.8</v>
      </c>
      <c r="AH18" s="10">
        <v>92.2</v>
      </c>
      <c r="AI18" s="10">
        <v>94.2</v>
      </c>
      <c r="AJ18" s="10">
        <v>93.8</v>
      </c>
      <c r="AK18" s="11">
        <v>38443.538630000003</v>
      </c>
      <c r="AL18" s="11">
        <v>48.535696899999998</v>
      </c>
      <c r="AM18" s="11">
        <v>7197.6897070000005</v>
      </c>
      <c r="AN18" s="11">
        <v>10.199999999999999</v>
      </c>
      <c r="AO18" s="11">
        <v>76.575000000000003</v>
      </c>
      <c r="AP18" s="19">
        <v>0.81271921000000003</v>
      </c>
    </row>
    <row r="19" spans="1:42">
      <c r="A19">
        <v>547</v>
      </c>
      <c r="B19" s="12" t="s">
        <v>89</v>
      </c>
      <c r="C19" t="s">
        <v>90</v>
      </c>
      <c r="D19" t="s">
        <v>91</v>
      </c>
      <c r="E19" t="s">
        <v>35</v>
      </c>
      <c r="F19" t="s">
        <v>36</v>
      </c>
      <c r="G19" t="s">
        <v>37</v>
      </c>
      <c r="H19" t="s">
        <v>38</v>
      </c>
      <c r="I19" t="s">
        <v>39</v>
      </c>
      <c r="J19" t="s">
        <v>40</v>
      </c>
      <c r="K19">
        <v>2008</v>
      </c>
      <c r="L19">
        <v>0.916448563855502</v>
      </c>
      <c r="M19" s="7">
        <v>0.45034096699999998</v>
      </c>
      <c r="N19" s="7">
        <f t="shared" si="0"/>
        <v>1.47939094430152E-5</v>
      </c>
      <c r="O19" s="8">
        <v>4.9719259349999998</v>
      </c>
      <c r="P19" s="8">
        <f t="shared" si="1"/>
        <v>1.6333007083445879E-4</v>
      </c>
      <c r="Q19" s="8">
        <v>0.24776733100000001</v>
      </c>
      <c r="R19" s="8">
        <f t="shared" si="2"/>
        <v>8.1392716327128483E-6</v>
      </c>
      <c r="S19" s="8">
        <v>3.3359253519999998</v>
      </c>
      <c r="T19" s="8">
        <f t="shared" si="3"/>
        <v>1.0958669359997755E-4</v>
      </c>
      <c r="U19" s="8">
        <v>1.9596025999999999E-2</v>
      </c>
      <c r="V19" s="8">
        <f t="shared" si="4"/>
        <v>6.4373853442245545E-7</v>
      </c>
      <c r="W19" s="8">
        <v>2.5330391000000001E-2</v>
      </c>
      <c r="X19" s="8">
        <f t="shared" si="5"/>
        <v>2.1147109148577924E-11</v>
      </c>
      <c r="Y19" s="8">
        <v>2.8663709999999999E-3</v>
      </c>
      <c r="Z19" s="8">
        <f t="shared" si="6"/>
        <v>9.4161615556696443E-8</v>
      </c>
      <c r="AA19" s="8">
        <v>9.5623387000000004E-2</v>
      </c>
      <c r="AB19" s="8">
        <f t="shared" si="7"/>
        <v>3.1412725725048172E-6</v>
      </c>
      <c r="AC19" s="8">
        <v>5.8886684760000003</v>
      </c>
      <c r="AD19" s="18">
        <f t="shared" si="8"/>
        <v>1.9344548810253437E-4</v>
      </c>
      <c r="AE19" s="9">
        <v>61.7</v>
      </c>
      <c r="AF19" s="10">
        <v>71.400000000000006</v>
      </c>
      <c r="AG19" s="10">
        <v>54.3</v>
      </c>
      <c r="AH19" s="10">
        <v>75.7</v>
      </c>
      <c r="AI19" s="10">
        <v>77.400000000000006</v>
      </c>
      <c r="AJ19" s="10">
        <v>73.599999999999994</v>
      </c>
      <c r="AK19" s="11">
        <v>30440.97091</v>
      </c>
      <c r="AL19" s="11">
        <v>59.4026377</v>
      </c>
      <c r="AM19" s="11">
        <v>5805.1925460000002</v>
      </c>
      <c r="AN19" s="11">
        <v>8.3000000000000007</v>
      </c>
      <c r="AO19" s="11">
        <v>75.567999999999998</v>
      </c>
      <c r="AP19" s="19">
        <v>1.63289605</v>
      </c>
    </row>
    <row r="20" spans="1:42">
      <c r="A20">
        <v>589</v>
      </c>
      <c r="B20" s="12" t="s">
        <v>92</v>
      </c>
      <c r="C20" t="s">
        <v>93</v>
      </c>
      <c r="D20" t="s">
        <v>94</v>
      </c>
      <c r="E20" t="s">
        <v>35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>
        <v>2008</v>
      </c>
      <c r="L20">
        <v>0.641380971302696</v>
      </c>
      <c r="M20" s="7">
        <v>21.023565210000001</v>
      </c>
      <c r="N20" s="7">
        <f t="shared" si="0"/>
        <v>1.015201474016106E-3</v>
      </c>
      <c r="O20" s="8">
        <v>3.3931975240000001</v>
      </c>
      <c r="P20" s="8">
        <f t="shared" si="1"/>
        <v>1.6385323295946345E-4</v>
      </c>
      <c r="Q20" s="8">
        <v>0.42243760899999999</v>
      </c>
      <c r="R20" s="8">
        <f t="shared" si="2"/>
        <v>2.0398979861543636E-5</v>
      </c>
      <c r="S20" s="8">
        <v>2.2967709909999998</v>
      </c>
      <c r="T20" s="8">
        <f t="shared" si="3"/>
        <v>1.1090817719306478E-4</v>
      </c>
      <c r="U20" s="8">
        <v>9.3577750000000005E-3</v>
      </c>
      <c r="V20" s="8">
        <f t="shared" si="4"/>
        <v>4.5187516382769913E-7</v>
      </c>
      <c r="W20" s="8">
        <v>3.5365106E-2</v>
      </c>
      <c r="X20" s="8">
        <f t="shared" si="5"/>
        <v>2.1820482292458403E-11</v>
      </c>
      <c r="Y20" s="8">
        <v>5.8992230000000003E-3</v>
      </c>
      <c r="Z20" s="8">
        <f t="shared" si="6"/>
        <v>2.8486604556971403E-7</v>
      </c>
      <c r="AA20" s="8">
        <v>3.4597928E-2</v>
      </c>
      <c r="AB20" s="8">
        <f t="shared" si="7"/>
        <v>1.6706903492656041E-6</v>
      </c>
      <c r="AC20" s="8">
        <v>4.4771963169999998</v>
      </c>
      <c r="AD20" s="18">
        <f t="shared" si="8"/>
        <v>2.1619816882038155E-4</v>
      </c>
      <c r="AE20" s="9">
        <v>69.900000000000006</v>
      </c>
      <c r="AF20" s="10">
        <v>73.3</v>
      </c>
      <c r="AG20" s="10">
        <v>71.599999999999994</v>
      </c>
      <c r="AH20" s="10">
        <v>85.4</v>
      </c>
      <c r="AI20" s="10">
        <v>80.3</v>
      </c>
      <c r="AJ20" s="10">
        <v>76.400000000000006</v>
      </c>
      <c r="AK20" s="11">
        <v>20708.76151</v>
      </c>
      <c r="AL20" s="11">
        <v>64.613324399999996</v>
      </c>
      <c r="AM20" s="11">
        <v>3988.7676940000001</v>
      </c>
      <c r="AN20" s="11">
        <v>9</v>
      </c>
      <c r="AO20" s="11">
        <v>67.942999999999998</v>
      </c>
      <c r="AP20" s="19">
        <v>47.236421200000002</v>
      </c>
    </row>
    <row r="21" spans="1:42">
      <c r="A21">
        <v>603</v>
      </c>
      <c r="B21" s="12" t="s">
        <v>95</v>
      </c>
      <c r="C21" t="s">
        <v>96</v>
      </c>
      <c r="D21" t="s">
        <v>97</v>
      </c>
      <c r="E21" t="s">
        <v>35</v>
      </c>
      <c r="F21" t="s">
        <v>36</v>
      </c>
      <c r="G21" t="s">
        <v>37</v>
      </c>
      <c r="H21" t="s">
        <v>38</v>
      </c>
      <c r="I21" t="s">
        <v>39</v>
      </c>
      <c r="J21" t="s">
        <v>40</v>
      </c>
      <c r="K21">
        <v>2008</v>
      </c>
      <c r="L21">
        <v>0.62272131372788897</v>
      </c>
      <c r="M21" s="7">
        <v>73.688061509999997</v>
      </c>
      <c r="N21" s="7">
        <f t="shared" si="0"/>
        <v>1.6851415409521551E-3</v>
      </c>
      <c r="O21" s="8">
        <v>0.30570998100000002</v>
      </c>
      <c r="P21" s="8">
        <f t="shared" si="1"/>
        <v>6.9911540337763198E-6</v>
      </c>
      <c r="Q21" s="8">
        <v>1.4908090000000001E-3</v>
      </c>
      <c r="R21" s="8">
        <f t="shared" si="2"/>
        <v>3.4092689155412437E-8</v>
      </c>
      <c r="S21" s="8"/>
      <c r="T21" s="8">
        <f t="shared" si="3"/>
        <v>0</v>
      </c>
      <c r="U21" s="8">
        <v>1.419151E-3</v>
      </c>
      <c r="V21" s="8">
        <f t="shared" si="4"/>
        <v>3.2453972244326884E-8</v>
      </c>
      <c r="W21" s="14">
        <v>3.6471899999999999E-5</v>
      </c>
      <c r="X21" s="8">
        <f t="shared" si="5"/>
        <v>7.4217635363364407E-13</v>
      </c>
      <c r="Y21" s="8">
        <v>3.3227040000000001E-3</v>
      </c>
      <c r="Z21" s="8">
        <f t="shared" si="6"/>
        <v>7.5985531766608276E-8</v>
      </c>
      <c r="AA21" s="8">
        <v>2.6460070000000001E-3</v>
      </c>
      <c r="AB21" s="8">
        <f t="shared" si="7"/>
        <v>6.0510430346238444E-8</v>
      </c>
      <c r="AC21" s="8">
        <v>0.29904333599999999</v>
      </c>
      <c r="AD21" s="18">
        <f t="shared" si="8"/>
        <v>6.838697310148756E-6</v>
      </c>
      <c r="AE21" s="9">
        <v>99.5</v>
      </c>
      <c r="AF21" s="10">
        <v>96.6</v>
      </c>
      <c r="AG21" s="10">
        <v>94.2</v>
      </c>
      <c r="AH21" s="10">
        <v>87.9</v>
      </c>
      <c r="AI21" s="10">
        <v>97.6</v>
      </c>
      <c r="AJ21" s="10">
        <v>96.2</v>
      </c>
      <c r="AK21" s="11">
        <v>43728.11406</v>
      </c>
      <c r="AL21" s="11">
        <v>18.713217</v>
      </c>
      <c r="AM21" s="11">
        <v>50063.95433</v>
      </c>
      <c r="AN21" s="11">
        <v>74</v>
      </c>
      <c r="AO21" s="11">
        <v>93.394999999999996</v>
      </c>
      <c r="AP21" s="19">
        <v>6.6595411999999996</v>
      </c>
    </row>
    <row r="22" spans="1:42">
      <c r="A22">
        <v>617</v>
      </c>
      <c r="B22" s="12" t="s">
        <v>98</v>
      </c>
      <c r="C22" t="s">
        <v>99</v>
      </c>
      <c r="D22" t="s">
        <v>100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>
        <v>2008</v>
      </c>
      <c r="L22">
        <v>0.273570314213606</v>
      </c>
      <c r="M22" s="7">
        <v>2480.1384859999998</v>
      </c>
      <c r="N22" s="7">
        <f t="shared" si="0"/>
        <v>0.3276596079692406</v>
      </c>
      <c r="O22" s="8">
        <v>112.2335581</v>
      </c>
      <c r="P22" s="8">
        <f t="shared" si="1"/>
        <v>1.4827560580034073E-2</v>
      </c>
      <c r="Q22" s="8">
        <v>15.51741642</v>
      </c>
      <c r="R22" s="8">
        <f t="shared" si="2"/>
        <v>2.0500591437024526E-3</v>
      </c>
      <c r="S22" s="8">
        <v>81.039765279999997</v>
      </c>
      <c r="T22" s="8">
        <f t="shared" si="3"/>
        <v>1.0706441544072742E-2</v>
      </c>
      <c r="U22" s="8">
        <v>0.39247118600000003</v>
      </c>
      <c r="V22" s="8">
        <f t="shared" si="4"/>
        <v>5.1850715462016712E-5</v>
      </c>
      <c r="W22" s="8">
        <v>7.2339797999999997E-2</v>
      </c>
      <c r="X22" s="8">
        <f t="shared" si="5"/>
        <v>6.8501759869908486E-9</v>
      </c>
      <c r="Y22" s="8">
        <v>6.8790966999999995E-2</v>
      </c>
      <c r="Z22" s="8">
        <f t="shared" si="6"/>
        <v>9.0882107617296037E-6</v>
      </c>
      <c r="AA22" s="8">
        <v>0.67314585999999998</v>
      </c>
      <c r="AB22" s="8">
        <f t="shared" si="7"/>
        <v>8.8931610004344461E-5</v>
      </c>
      <c r="AC22" s="8">
        <v>35.350353679999998</v>
      </c>
      <c r="AD22" s="18">
        <f t="shared" si="8"/>
        <v>4.6702565577472358E-3</v>
      </c>
      <c r="AE22" s="9">
        <v>32.5</v>
      </c>
      <c r="AF22" s="10">
        <v>46.1</v>
      </c>
      <c r="AG22" s="10">
        <v>15.9</v>
      </c>
      <c r="AH22" s="10">
        <v>44.2</v>
      </c>
      <c r="AI22" s="10">
        <v>30.3</v>
      </c>
      <c r="AJ22" s="10">
        <v>47.1</v>
      </c>
      <c r="AK22" s="11">
        <v>7569.2530470000002</v>
      </c>
      <c r="AL22" s="11">
        <v>26.2266321</v>
      </c>
      <c r="AM22" s="11">
        <v>558.93226219999997</v>
      </c>
      <c r="AN22" s="11">
        <v>41.1</v>
      </c>
      <c r="AO22" s="11">
        <v>48.335000000000001</v>
      </c>
      <c r="AP22" s="19">
        <v>1.82632902</v>
      </c>
    </row>
    <row r="23" spans="1:42">
      <c r="A23">
        <v>633</v>
      </c>
      <c r="B23" s="12" t="s">
        <v>101</v>
      </c>
      <c r="C23" t="s">
        <v>102</v>
      </c>
      <c r="D23" t="s">
        <v>103</v>
      </c>
      <c r="E23" t="s">
        <v>35</v>
      </c>
      <c r="F23" t="s">
        <v>36</v>
      </c>
      <c r="G23" t="s">
        <v>37</v>
      </c>
      <c r="H23" t="s">
        <v>38</v>
      </c>
      <c r="I23" t="s">
        <v>39</v>
      </c>
      <c r="J23" t="s">
        <v>40</v>
      </c>
      <c r="K23">
        <v>2008</v>
      </c>
      <c r="L23">
        <v>1.0701515887720701</v>
      </c>
      <c r="M23" s="7">
        <v>73.056169740000001</v>
      </c>
      <c r="N23" s="7">
        <f t="shared" si="0"/>
        <v>1.6540110416943632E-3</v>
      </c>
      <c r="O23" s="8">
        <v>15.65953274</v>
      </c>
      <c r="P23" s="8">
        <f t="shared" si="1"/>
        <v>3.5453597077308779E-4</v>
      </c>
      <c r="Q23" s="8">
        <v>0.224176868</v>
      </c>
      <c r="R23" s="8">
        <f t="shared" si="2"/>
        <v>5.0754236950016659E-6</v>
      </c>
      <c r="S23" s="8">
        <v>1.1156188950000001</v>
      </c>
      <c r="T23" s="8">
        <f t="shared" si="3"/>
        <v>2.5257907404944995E-5</v>
      </c>
      <c r="U23" s="8">
        <v>1.0107179000000001E-2</v>
      </c>
      <c r="V23" s="8">
        <f t="shared" si="4"/>
        <v>2.2882921080966859E-7</v>
      </c>
      <c r="W23" s="8">
        <v>1.4302953E-2</v>
      </c>
      <c r="X23" s="8">
        <f t="shared" si="5"/>
        <v>5.1807539690130889E-12</v>
      </c>
      <c r="Y23" s="8"/>
      <c r="Z23" s="8">
        <f t="shared" si="6"/>
        <v>0</v>
      </c>
      <c r="AA23" s="8">
        <v>3.0010869999999999E-2</v>
      </c>
      <c r="AB23" s="8">
        <f t="shared" si="7"/>
        <v>6.7945404922694637E-7</v>
      </c>
      <c r="AC23" s="8">
        <v>1.379609426</v>
      </c>
      <c r="AD23" s="18">
        <f t="shared" si="8"/>
        <v>3.1234722980285583E-5</v>
      </c>
      <c r="AE23" s="9">
        <v>92.7</v>
      </c>
      <c r="AF23" s="10">
        <v>88.8</v>
      </c>
      <c r="AG23" s="10">
        <v>93.3</v>
      </c>
      <c r="AH23" s="10">
        <v>99.5</v>
      </c>
      <c r="AI23" s="10">
        <v>93.8</v>
      </c>
      <c r="AJ23" s="10">
        <v>95.7</v>
      </c>
      <c r="AK23" s="11">
        <v>44169.094340000003</v>
      </c>
      <c r="AL23" s="11">
        <v>67.194077500000006</v>
      </c>
      <c r="AM23" s="11">
        <v>6341.4012650000004</v>
      </c>
      <c r="AN23" s="11">
        <v>4.2</v>
      </c>
      <c r="AO23" s="11">
        <v>61.140999999999998</v>
      </c>
      <c r="AP23" s="19">
        <v>8.4544926900000004</v>
      </c>
    </row>
    <row r="24" spans="1:42">
      <c r="A24">
        <v>647</v>
      </c>
      <c r="B24" s="12" t="s">
        <v>104</v>
      </c>
      <c r="C24" t="s">
        <v>105</v>
      </c>
      <c r="D24" t="s">
        <v>106</v>
      </c>
      <c r="E24" t="s">
        <v>35</v>
      </c>
      <c r="F24" t="s">
        <v>36</v>
      </c>
      <c r="G24" t="s">
        <v>37</v>
      </c>
      <c r="H24" t="s">
        <v>38</v>
      </c>
      <c r="I24" t="s">
        <v>39</v>
      </c>
      <c r="J24" t="s">
        <v>40</v>
      </c>
      <c r="K24">
        <v>2008</v>
      </c>
      <c r="L24">
        <v>0.604641646449672</v>
      </c>
      <c r="M24" s="7">
        <v>5.0323217309999997</v>
      </c>
      <c r="N24" s="7">
        <f t="shared" si="0"/>
        <v>1.7918925397850048E-4</v>
      </c>
      <c r="O24" s="8">
        <v>1.5036482760000001</v>
      </c>
      <c r="P24" s="8">
        <f t="shared" si="1"/>
        <v>5.3541412339102771E-5</v>
      </c>
      <c r="Q24" s="8">
        <v>1.5909320000000001E-2</v>
      </c>
      <c r="R24" s="8">
        <f t="shared" si="2"/>
        <v>5.6649382422112021E-7</v>
      </c>
      <c r="S24" s="8">
        <v>0.176406972</v>
      </c>
      <c r="T24" s="8">
        <f t="shared" si="3"/>
        <v>6.2814413304621491E-6</v>
      </c>
      <c r="U24" s="8">
        <v>1.901079E-3</v>
      </c>
      <c r="V24" s="8">
        <f t="shared" si="4"/>
        <v>6.7692994600426863E-8</v>
      </c>
      <c r="W24" s="8">
        <v>2.1206335E-2</v>
      </c>
      <c r="X24" s="8">
        <f t="shared" si="5"/>
        <v>2.4103898459629609E-12</v>
      </c>
      <c r="Y24" s="8">
        <v>1.5708E-3</v>
      </c>
      <c r="Z24" s="8">
        <f t="shared" si="6"/>
        <v>5.593252879988181E-8</v>
      </c>
      <c r="AA24" s="8">
        <v>5.1655883E-2</v>
      </c>
      <c r="AB24" s="8">
        <f t="shared" si="7"/>
        <v>1.8393456605429241E-6</v>
      </c>
      <c r="AC24" s="8">
        <v>4.9177456299999998</v>
      </c>
      <c r="AD24" s="18">
        <f t="shared" si="8"/>
        <v>1.7510946592848731E-4</v>
      </c>
      <c r="AE24" s="9">
        <v>77.7</v>
      </c>
      <c r="AF24" s="10">
        <v>87.4</v>
      </c>
      <c r="AG24" s="10">
        <v>11.1</v>
      </c>
      <c r="AH24" s="10">
        <v>85</v>
      </c>
      <c r="AI24" s="10">
        <v>74</v>
      </c>
      <c r="AJ24" s="10">
        <v>69.2</v>
      </c>
      <c r="AK24" s="11">
        <v>28083.836609999998</v>
      </c>
      <c r="AL24" s="11">
        <v>23.8262477</v>
      </c>
      <c r="AM24" s="11">
        <v>7133.8660250000003</v>
      </c>
      <c r="AN24" s="11">
        <v>8.9</v>
      </c>
      <c r="AO24" s="11">
        <v>91.701999999999998</v>
      </c>
      <c r="AP24" s="19">
        <v>4.6440912000000001</v>
      </c>
    </row>
    <row r="25" spans="1:42">
      <c r="A25">
        <v>661</v>
      </c>
      <c r="B25" s="12" t="s">
        <v>107</v>
      </c>
      <c r="C25" t="s">
        <v>108</v>
      </c>
      <c r="D25" t="s">
        <v>109</v>
      </c>
      <c r="E25" t="s">
        <v>35</v>
      </c>
      <c r="F25" t="s">
        <v>36</v>
      </c>
      <c r="G25" t="s">
        <v>37</v>
      </c>
      <c r="H25" t="s">
        <v>38</v>
      </c>
      <c r="I25" t="s">
        <v>39</v>
      </c>
      <c r="J25" t="s">
        <v>40</v>
      </c>
      <c r="K25">
        <v>2008</v>
      </c>
      <c r="L25">
        <v>0.78176758977076999</v>
      </c>
      <c r="M25" s="7">
        <v>78.855385080000005</v>
      </c>
      <c r="N25" s="7">
        <f t="shared" si="0"/>
        <v>2.2261482343684329E-3</v>
      </c>
      <c r="O25" s="8">
        <v>22.476114710000001</v>
      </c>
      <c r="P25" s="8">
        <f t="shared" si="1"/>
        <v>6.3451802342182994E-4</v>
      </c>
      <c r="Q25" s="8">
        <v>2.8806896050000002</v>
      </c>
      <c r="R25" s="8">
        <f t="shared" si="2"/>
        <v>8.1324085494330171E-5</v>
      </c>
      <c r="S25" s="8">
        <v>4.574489271</v>
      </c>
      <c r="T25" s="8">
        <f t="shared" si="3"/>
        <v>1.2914135418199633E-4</v>
      </c>
      <c r="U25" s="8">
        <v>8.4480670999999993E-2</v>
      </c>
      <c r="V25" s="8">
        <f t="shared" si="4"/>
        <v>2.3849543869973381E-6</v>
      </c>
      <c r="W25" s="8">
        <v>0.22368102400000001</v>
      </c>
      <c r="X25" s="8">
        <f t="shared" si="5"/>
        <v>6.7329098605974007E-11</v>
      </c>
      <c r="Y25" s="8">
        <v>4.8670102999999999E-2</v>
      </c>
      <c r="Z25" s="8">
        <f t="shared" si="6"/>
        <v>1.3739944805298991E-6</v>
      </c>
      <c r="AA25" s="8">
        <v>0.444344715</v>
      </c>
      <c r="AB25" s="8">
        <f t="shared" si="7"/>
        <v>1.2544193421218589E-5</v>
      </c>
      <c r="AC25" s="8">
        <v>20.391055269999999</v>
      </c>
      <c r="AD25" s="18">
        <f t="shared" si="8"/>
        <v>5.7565519006935555E-4</v>
      </c>
      <c r="AE25" s="9">
        <v>64.099999999999994</v>
      </c>
      <c r="AF25" s="10">
        <v>62.6</v>
      </c>
      <c r="AG25" s="10">
        <v>65.400000000000006</v>
      </c>
      <c r="AH25" s="10">
        <v>79.099999999999994</v>
      </c>
      <c r="AI25" s="10">
        <v>62.5</v>
      </c>
      <c r="AJ25" s="10">
        <v>81.3</v>
      </c>
      <c r="AK25" s="11">
        <v>35422.34244</v>
      </c>
      <c r="AL25" s="11">
        <v>48.888468099999997</v>
      </c>
      <c r="AM25" s="11">
        <v>5720.5580819999996</v>
      </c>
      <c r="AN25" s="11">
        <v>10.8</v>
      </c>
      <c r="AO25" s="11">
        <v>68.091999999999999</v>
      </c>
      <c r="AP25" s="19">
        <v>-0.39303189999999999</v>
      </c>
    </row>
    <row r="26" spans="1:42">
      <c r="A26">
        <v>689</v>
      </c>
      <c r="B26" s="12" t="s">
        <v>110</v>
      </c>
      <c r="C26" t="s">
        <v>111</v>
      </c>
      <c r="D26" t="s">
        <v>112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  <c r="K26">
        <v>2008</v>
      </c>
      <c r="L26">
        <v>1.1119240928506799</v>
      </c>
      <c r="M26" s="7">
        <v>1.1089937409999999</v>
      </c>
      <c r="N26" s="7">
        <f t="shared" si="0"/>
        <v>3.1439595939207685E-5</v>
      </c>
      <c r="O26" s="8">
        <v>45.389653699999997</v>
      </c>
      <c r="P26" s="8">
        <f t="shared" si="1"/>
        <v>1.2867812679102967E-3</v>
      </c>
      <c r="Q26" s="8">
        <v>1.234183896</v>
      </c>
      <c r="R26" s="8">
        <f t="shared" si="2"/>
        <v>3.4988694318444418E-5</v>
      </c>
      <c r="S26" s="8">
        <v>4.6101742430000003</v>
      </c>
      <c r="T26" s="8">
        <f t="shared" si="3"/>
        <v>1.3069687415779806E-4</v>
      </c>
      <c r="U26" s="8">
        <v>0.36739461200000001</v>
      </c>
      <c r="V26" s="8">
        <f t="shared" si="4"/>
        <v>1.0415512481708393E-5</v>
      </c>
      <c r="W26" s="8">
        <v>0.40031003199999998</v>
      </c>
      <c r="X26" s="8">
        <f t="shared" si="5"/>
        <v>2.9527624171206766E-10</v>
      </c>
      <c r="Y26" s="8">
        <v>0.33218292500000002</v>
      </c>
      <c r="Z26" s="8">
        <f t="shared" si="6"/>
        <v>9.4172731132701076E-6</v>
      </c>
      <c r="AA26" s="8">
        <v>0.83735871799999995</v>
      </c>
      <c r="AB26" s="8">
        <f t="shared" si="7"/>
        <v>2.3738835285358887E-5</v>
      </c>
      <c r="AC26" s="8">
        <v>10.37889571</v>
      </c>
      <c r="AD26" s="18">
        <f t="shared" si="8"/>
        <v>2.9423816866931815E-4</v>
      </c>
      <c r="AE26" s="9">
        <v>88.8</v>
      </c>
      <c r="AF26" s="10">
        <v>88.3</v>
      </c>
      <c r="AG26" s="10">
        <v>77.400000000000006</v>
      </c>
      <c r="AH26" s="10">
        <v>83</v>
      </c>
      <c r="AI26" s="10">
        <v>88.9</v>
      </c>
      <c r="AJ26" s="10">
        <v>75.5</v>
      </c>
      <c r="AK26" s="11">
        <v>35273.791149999997</v>
      </c>
      <c r="AL26" s="11">
        <v>13.715226299999999</v>
      </c>
      <c r="AM26" s="11">
        <v>8270.4840590000003</v>
      </c>
      <c r="AN26" s="11">
        <v>4.4000000000000004</v>
      </c>
      <c r="AO26" s="11">
        <v>89.102999999999994</v>
      </c>
      <c r="AP26" s="19">
        <v>0.48220858999999999</v>
      </c>
    </row>
    <row r="27" spans="1:42">
      <c r="A27">
        <v>803</v>
      </c>
      <c r="B27" s="12" t="s">
        <v>113</v>
      </c>
      <c r="C27" t="s">
        <v>114</v>
      </c>
      <c r="D27" t="s">
        <v>115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>
        <v>2008</v>
      </c>
      <c r="L27">
        <v>0.82131345328404903</v>
      </c>
      <c r="M27" s="7">
        <v>12.89142887</v>
      </c>
      <c r="N27" s="7">
        <f t="shared" si="0"/>
        <v>6.9179581383127194E-4</v>
      </c>
      <c r="O27" s="8">
        <v>1.1647717500000001</v>
      </c>
      <c r="P27" s="8">
        <f t="shared" si="1"/>
        <v>6.2505423475134515E-5</v>
      </c>
      <c r="Q27" s="8">
        <v>0.292296216</v>
      </c>
      <c r="R27" s="8">
        <f t="shared" si="2"/>
        <v>1.5685561365357109E-5</v>
      </c>
      <c r="S27" s="8">
        <v>0.11473650000000001</v>
      </c>
      <c r="T27" s="8">
        <f t="shared" si="3"/>
        <v>6.157132090948095E-6</v>
      </c>
      <c r="U27" s="8">
        <v>5.9326689999999998E-3</v>
      </c>
      <c r="V27" s="8">
        <f t="shared" si="4"/>
        <v>3.1836622770324125E-7</v>
      </c>
      <c r="W27" s="8">
        <v>7.8191430000000006E-3</v>
      </c>
      <c r="X27" s="8">
        <f t="shared" si="5"/>
        <v>1.7084562604452071E-11</v>
      </c>
      <c r="Y27" s="8">
        <v>1.2446E-3</v>
      </c>
      <c r="Z27" s="8">
        <f t="shared" si="6"/>
        <v>6.6789265842988046E-8</v>
      </c>
      <c r="AA27" s="8">
        <v>1.2998549E-2</v>
      </c>
      <c r="AB27" s="8">
        <f t="shared" si="7"/>
        <v>6.9754422684726537E-7</v>
      </c>
      <c r="AC27" s="8">
        <v>0.62979244999999995</v>
      </c>
      <c r="AD27" s="18">
        <f t="shared" si="8"/>
        <v>3.3796702048012823E-5</v>
      </c>
      <c r="AE27" s="9">
        <v>63.1</v>
      </c>
      <c r="AF27" s="10">
        <v>69.400000000000006</v>
      </c>
      <c r="AG27" s="10">
        <v>51.4</v>
      </c>
      <c r="AH27" s="10">
        <v>78.599999999999994</v>
      </c>
      <c r="AI27" s="10">
        <v>73.099999999999994</v>
      </c>
      <c r="AJ27" s="10">
        <v>71.2</v>
      </c>
      <c r="AK27" s="11">
        <v>18634.730960000001</v>
      </c>
      <c r="AL27" s="11">
        <v>29.3281052</v>
      </c>
      <c r="AM27" s="11">
        <v>3213.1214399999999</v>
      </c>
      <c r="AN27" s="11">
        <v>33.700000000000003</v>
      </c>
      <c r="AO27" s="11">
        <v>67.834000000000003</v>
      </c>
      <c r="AP27" s="19">
        <v>4.2017439999999997</v>
      </c>
    </row>
    <row r="28" spans="1:42">
      <c r="A28">
        <v>833</v>
      </c>
      <c r="B28" s="12" t="s">
        <v>116</v>
      </c>
      <c r="C28" t="s">
        <v>117</v>
      </c>
      <c r="D28" t="s">
        <v>118</v>
      </c>
      <c r="E28" t="s">
        <v>35</v>
      </c>
      <c r="F28" t="s">
        <v>36</v>
      </c>
      <c r="G28" t="s">
        <v>37</v>
      </c>
      <c r="H28" t="s">
        <v>38</v>
      </c>
      <c r="I28" t="s">
        <v>39</v>
      </c>
      <c r="J28" t="s">
        <v>40</v>
      </c>
      <c r="K28">
        <v>2008</v>
      </c>
      <c r="L28">
        <v>0.84094304960195998</v>
      </c>
      <c r="M28" s="7">
        <v>100.46131149999999</v>
      </c>
      <c r="N28" s="7">
        <f t="shared" si="0"/>
        <v>4.8448459824423128E-3</v>
      </c>
      <c r="O28" s="8">
        <v>2.511046179</v>
      </c>
      <c r="P28" s="8">
        <f t="shared" si="1"/>
        <v>1.2109768238547504E-4</v>
      </c>
      <c r="Q28" s="8">
        <v>0.236523861</v>
      </c>
      <c r="R28" s="8">
        <f t="shared" si="2"/>
        <v>1.1406596834221043E-5</v>
      </c>
      <c r="S28" s="8">
        <v>0.23035836000000001</v>
      </c>
      <c r="T28" s="8">
        <f t="shared" si="3"/>
        <v>1.1109259458234328E-5</v>
      </c>
      <c r="U28" s="8">
        <v>4.8317070000000002E-3</v>
      </c>
      <c r="V28" s="8">
        <f t="shared" si="4"/>
        <v>2.3301384281936634E-7</v>
      </c>
      <c r="W28" s="8">
        <v>9.0490210000000008E-3</v>
      </c>
      <c r="X28" s="8">
        <f t="shared" si="5"/>
        <v>1.123732274027551E-11</v>
      </c>
      <c r="Y28" s="8">
        <v>3.5502239999999998E-3</v>
      </c>
      <c r="Z28" s="8">
        <f t="shared" si="6"/>
        <v>1.7121305929965166E-7</v>
      </c>
      <c r="AA28" s="8">
        <v>2.8145278999999999E-2</v>
      </c>
      <c r="AB28" s="8">
        <f t="shared" si="7"/>
        <v>1.3573338815895111E-6</v>
      </c>
      <c r="AC28" s="8">
        <v>1.5041831729999999</v>
      </c>
      <c r="AD28" s="18">
        <f t="shared" si="8"/>
        <v>7.2540719345141931E-5</v>
      </c>
      <c r="AE28" s="9">
        <v>60.7</v>
      </c>
      <c r="AF28" s="10">
        <v>70.400000000000006</v>
      </c>
      <c r="AG28" s="10">
        <v>70.7</v>
      </c>
      <c r="AH28" s="10">
        <v>81.099999999999994</v>
      </c>
      <c r="AI28" s="10">
        <v>70.7</v>
      </c>
      <c r="AJ28" s="10">
        <v>72.599999999999994</v>
      </c>
      <c r="AK28" s="11">
        <v>20735.707979999999</v>
      </c>
      <c r="AL28" s="11">
        <v>42.634224199999998</v>
      </c>
      <c r="AM28" s="11">
        <v>3733.626495</v>
      </c>
      <c r="AN28" s="11">
        <v>18.3</v>
      </c>
      <c r="AO28" s="11">
        <v>66.847999999999999</v>
      </c>
      <c r="AP28" s="19">
        <v>3.61122071</v>
      </c>
    </row>
    <row r="29" spans="1:42">
      <c r="A29">
        <v>847</v>
      </c>
      <c r="B29" s="12" t="s">
        <v>119</v>
      </c>
      <c r="C29" t="s">
        <v>120</v>
      </c>
      <c r="D29" t="s">
        <v>121</v>
      </c>
      <c r="E29" t="s">
        <v>35</v>
      </c>
      <c r="F29" t="s">
        <v>36</v>
      </c>
      <c r="G29" t="s">
        <v>37</v>
      </c>
      <c r="H29" t="s">
        <v>38</v>
      </c>
      <c r="I29" t="s">
        <v>39</v>
      </c>
      <c r="J29" t="s">
        <v>40</v>
      </c>
      <c r="K29">
        <v>2008</v>
      </c>
      <c r="L29">
        <v>0.74066723986243299</v>
      </c>
      <c r="M29" s="7">
        <v>12.25870039</v>
      </c>
      <c r="N29" s="7">
        <f t="shared" si="0"/>
        <v>1.3475434984239741E-4</v>
      </c>
      <c r="O29" s="8">
        <v>0.46979979500000002</v>
      </c>
      <c r="P29" s="8">
        <f t="shared" si="1"/>
        <v>5.1642966968145794E-6</v>
      </c>
      <c r="Q29" s="8">
        <v>8.1499789999999999E-3</v>
      </c>
      <c r="R29" s="8">
        <f t="shared" si="2"/>
        <v>8.9589033619753252E-8</v>
      </c>
      <c r="S29" s="8">
        <v>2.2829596000000001E-2</v>
      </c>
      <c r="T29" s="8">
        <f t="shared" si="3"/>
        <v>2.5095542498568212E-7</v>
      </c>
      <c r="U29" s="8">
        <v>2.8916409999999999E-3</v>
      </c>
      <c r="V29" s="8">
        <f t="shared" si="4"/>
        <v>3.1786501875067026E-8</v>
      </c>
      <c r="W29" s="8">
        <v>2.993894E-3</v>
      </c>
      <c r="X29" s="8">
        <f t="shared" si="5"/>
        <v>3.4941464084014569E-13</v>
      </c>
      <c r="Y29" s="8"/>
      <c r="Z29" s="8">
        <f t="shared" si="6"/>
        <v>0</v>
      </c>
      <c r="AA29" s="8">
        <v>9.3633039999999994E-3</v>
      </c>
      <c r="AB29" s="8">
        <f t="shared" si="7"/>
        <v>1.0292656666329694E-7</v>
      </c>
      <c r="AC29" s="8">
        <v>0.10350714</v>
      </c>
      <c r="AD29" s="18">
        <f t="shared" si="8"/>
        <v>1.137807182735625E-6</v>
      </c>
      <c r="AE29" s="9">
        <v>95.1</v>
      </c>
      <c r="AF29" s="10">
        <v>92.7</v>
      </c>
      <c r="AG29" s="10">
        <v>100</v>
      </c>
      <c r="AH29" s="10">
        <v>96.1</v>
      </c>
      <c r="AI29" s="10">
        <v>95.7</v>
      </c>
      <c r="AJ29" s="10">
        <v>99.5</v>
      </c>
      <c r="AK29" s="11">
        <v>90970.7212</v>
      </c>
      <c r="AL29" s="11">
        <v>50.884457300000001</v>
      </c>
      <c r="AM29" s="11">
        <v>15933.694869999999</v>
      </c>
      <c r="AN29" s="11">
        <v>4</v>
      </c>
      <c r="AO29" s="11">
        <v>87.8</v>
      </c>
      <c r="AP29" s="19">
        <v>12.094825699999999</v>
      </c>
    </row>
    <row r="30" spans="1:42">
      <c r="A30">
        <v>891</v>
      </c>
      <c r="B30" s="12" t="s">
        <v>122</v>
      </c>
      <c r="C30" t="s">
        <v>123</v>
      </c>
      <c r="D30" t="s">
        <v>124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>
        <v>2008</v>
      </c>
      <c r="L30">
        <v>1.57324636832521</v>
      </c>
      <c r="M30" s="7">
        <v>9.2972398999999997E-2</v>
      </c>
      <c r="N30" s="7">
        <f t="shared" si="0"/>
        <v>3.488135362506465E-6</v>
      </c>
      <c r="O30" s="8">
        <v>6.6868001999999996E-2</v>
      </c>
      <c r="P30" s="8">
        <f t="shared" si="1"/>
        <v>2.5087514671569677E-6</v>
      </c>
      <c r="Q30" s="8">
        <v>3.75306E-4</v>
      </c>
      <c r="R30" s="8">
        <f t="shared" si="2"/>
        <v>1.4080717981267229E-8</v>
      </c>
      <c r="S30" s="8"/>
      <c r="T30" s="8">
        <f t="shared" si="3"/>
        <v>0</v>
      </c>
      <c r="U30" s="13">
        <v>3.6427999999999997E-5</v>
      </c>
      <c r="V30" s="8">
        <f t="shared" si="4"/>
        <v>1.3667044881286273E-9</v>
      </c>
      <c r="W30" s="8">
        <v>1.128857E-3</v>
      </c>
      <c r="X30" s="8">
        <f t="shared" si="5"/>
        <v>5.1275973368588262E-14</v>
      </c>
      <c r="Y30" s="8"/>
      <c r="Z30" s="8">
        <f t="shared" si="6"/>
        <v>0</v>
      </c>
      <c r="AA30" s="8">
        <v>1.9625060000000001E-3</v>
      </c>
      <c r="AB30" s="8">
        <f t="shared" si="7"/>
        <v>7.3629234604682123E-8</v>
      </c>
      <c r="AC30" s="8">
        <v>0.11763593899999999</v>
      </c>
      <c r="AD30" s="18">
        <f t="shared" si="8"/>
        <v>4.4134612330220005E-6</v>
      </c>
      <c r="AE30" s="9">
        <v>80.599999999999994</v>
      </c>
      <c r="AF30" s="10">
        <v>86.9</v>
      </c>
      <c r="AG30" s="10">
        <v>95.2</v>
      </c>
      <c r="AH30" s="10">
        <v>85.9</v>
      </c>
      <c r="AI30" s="10">
        <v>91.8</v>
      </c>
      <c r="AJ30" s="10">
        <v>90.9</v>
      </c>
      <c r="AK30" s="11">
        <v>26653.896519999998</v>
      </c>
      <c r="AL30" s="11">
        <v>29.0625</v>
      </c>
      <c r="AM30" s="11">
        <v>4836.5939630000003</v>
      </c>
      <c r="AN30" s="11">
        <v>0.2</v>
      </c>
      <c r="AO30" s="11">
        <v>93.929000000000002</v>
      </c>
      <c r="AP30" s="19">
        <v>162.42023800000001</v>
      </c>
    </row>
    <row r="31" spans="1:42">
      <c r="A31">
        <v>919</v>
      </c>
      <c r="B31" s="12" t="s">
        <v>125</v>
      </c>
      <c r="C31" t="s">
        <v>126</v>
      </c>
      <c r="D31" t="s">
        <v>127</v>
      </c>
      <c r="E31" t="s">
        <v>35</v>
      </c>
      <c r="F31" t="s">
        <v>36</v>
      </c>
      <c r="G31" t="s">
        <v>37</v>
      </c>
      <c r="H31" t="s">
        <v>38</v>
      </c>
      <c r="I31" t="s">
        <v>39</v>
      </c>
      <c r="J31" t="s">
        <v>40</v>
      </c>
      <c r="K31">
        <v>2008</v>
      </c>
      <c r="L31">
        <v>0.195529350510459</v>
      </c>
      <c r="M31" s="7">
        <v>258.68712210000001</v>
      </c>
      <c r="N31" s="7">
        <f t="shared" si="0"/>
        <v>1.7762228656134166E-2</v>
      </c>
      <c r="O31" s="8">
        <v>3.2922813000000002E-2</v>
      </c>
      <c r="P31" s="8">
        <f t="shared" si="1"/>
        <v>2.2605784461241508E-6</v>
      </c>
      <c r="Q31" s="8">
        <v>2.6133350000000001E-3</v>
      </c>
      <c r="R31" s="8">
        <f t="shared" si="2"/>
        <v>1.7943936848597529E-7</v>
      </c>
      <c r="S31" s="8">
        <v>2.8644E-3</v>
      </c>
      <c r="T31" s="8">
        <f t="shared" si="3"/>
        <v>1.966782395258272E-7</v>
      </c>
      <c r="U31" s="8">
        <v>2.2122660000000001E-3</v>
      </c>
      <c r="V31" s="8">
        <f t="shared" si="4"/>
        <v>1.5190077581442663E-7</v>
      </c>
      <c r="W31" s="8">
        <v>8.2720150000000006E-3</v>
      </c>
      <c r="X31" s="8">
        <f t="shared" si="5"/>
        <v>1.0429959911251494E-11</v>
      </c>
      <c r="Y31" s="8"/>
      <c r="Z31" s="8">
        <f t="shared" si="6"/>
        <v>0</v>
      </c>
      <c r="AA31" s="8">
        <v>4.8532580000000001E-3</v>
      </c>
      <c r="AB31" s="8">
        <f t="shared" si="7"/>
        <v>3.3323915633453327E-7</v>
      </c>
      <c r="AC31" s="8">
        <v>0.47122392499999999</v>
      </c>
      <c r="AD31" s="18">
        <f t="shared" si="8"/>
        <v>3.2355638874267011E-5</v>
      </c>
      <c r="AE31" s="9">
        <v>70.400000000000006</v>
      </c>
      <c r="AF31" s="10">
        <v>76.7</v>
      </c>
      <c r="AG31" s="10">
        <v>76.900000000000006</v>
      </c>
      <c r="AH31" s="10">
        <v>73.8</v>
      </c>
      <c r="AI31" s="10">
        <v>81.3</v>
      </c>
      <c r="AJ31" s="10">
        <v>73.099999999999994</v>
      </c>
      <c r="AK31" s="11">
        <v>14563.88875</v>
      </c>
      <c r="AL31" s="11">
        <v>44.827586199999999</v>
      </c>
      <c r="AM31" s="11">
        <v>1881.6497750000001</v>
      </c>
      <c r="AN31" s="11">
        <v>12.7</v>
      </c>
      <c r="AO31" s="11">
        <v>41.777000000000001</v>
      </c>
      <c r="AP31" s="19">
        <v>3.7808934199999999</v>
      </c>
    </row>
    <row r="32" spans="1:42">
      <c r="A32">
        <v>947</v>
      </c>
      <c r="B32" s="12" t="s">
        <v>128</v>
      </c>
      <c r="C32" t="s">
        <v>129</v>
      </c>
      <c r="D32" t="s">
        <v>130</v>
      </c>
      <c r="E32" t="s">
        <v>35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  <c r="K32">
        <v>2008</v>
      </c>
      <c r="L32">
        <v>0.14923346208361499</v>
      </c>
      <c r="M32" s="7">
        <v>258.68712210000001</v>
      </c>
      <c r="N32" s="7">
        <f t="shared" si="0"/>
        <v>4.2040036428466543E-2</v>
      </c>
      <c r="O32" s="8">
        <v>1.027965408</v>
      </c>
      <c r="P32" s="8">
        <f t="shared" si="1"/>
        <v>1.670578065452276E-4</v>
      </c>
      <c r="Q32" s="8">
        <v>3.7151854999999998E-2</v>
      </c>
      <c r="R32" s="8">
        <f t="shared" si="2"/>
        <v>6.0376617316935497E-6</v>
      </c>
      <c r="S32" s="8">
        <v>9.8265364999999993E-2</v>
      </c>
      <c r="T32" s="8">
        <f t="shared" si="3"/>
        <v>1.5969405398772114E-5</v>
      </c>
      <c r="U32" s="8">
        <v>7.6644300000000001E-4</v>
      </c>
      <c r="V32" s="8">
        <f t="shared" si="4"/>
        <v>1.2455699912223495E-7</v>
      </c>
      <c r="W32" s="8">
        <v>2.5646240000000002E-3</v>
      </c>
      <c r="X32" s="8">
        <f t="shared" si="5"/>
        <v>2.0242139376752658E-11</v>
      </c>
      <c r="Y32" s="8"/>
      <c r="Z32" s="8">
        <f t="shared" si="6"/>
        <v>0</v>
      </c>
      <c r="AA32" s="8">
        <v>9.3570719999999993E-3</v>
      </c>
      <c r="AB32" s="8">
        <f t="shared" si="7"/>
        <v>1.5206464262713457E-6</v>
      </c>
      <c r="AC32" s="8">
        <v>0.80112834499999996</v>
      </c>
      <c r="AD32" s="18">
        <f t="shared" si="8"/>
        <v>1.3019382076026858E-4</v>
      </c>
      <c r="AE32" s="9">
        <v>33</v>
      </c>
      <c r="AF32" s="10">
        <v>24.3</v>
      </c>
      <c r="AG32" s="10">
        <v>35.6</v>
      </c>
      <c r="AH32" s="10">
        <v>49</v>
      </c>
      <c r="AI32" s="10">
        <v>40.4</v>
      </c>
      <c r="AJ32" s="10">
        <v>36.5</v>
      </c>
      <c r="AK32" s="11">
        <v>6153.3515209999996</v>
      </c>
      <c r="AL32" s="11">
        <v>75.433262400000004</v>
      </c>
      <c r="AM32" s="11">
        <v>2524.0228339999999</v>
      </c>
      <c r="AN32" s="11">
        <v>4.9000000000000004</v>
      </c>
      <c r="AO32" s="11">
        <v>42.682000000000002</v>
      </c>
      <c r="AP32" s="19">
        <v>12.0005135</v>
      </c>
    </row>
    <row r="33" spans="1:42">
      <c r="A33">
        <v>1031</v>
      </c>
      <c r="B33" s="12" t="s">
        <v>131</v>
      </c>
      <c r="C33" t="s">
        <v>132</v>
      </c>
      <c r="D33" t="s">
        <v>133</v>
      </c>
      <c r="E33" t="s">
        <v>35</v>
      </c>
      <c r="F33" t="s">
        <v>36</v>
      </c>
      <c r="G33" t="s">
        <v>37</v>
      </c>
      <c r="H33" t="s">
        <v>38</v>
      </c>
      <c r="I33" t="s">
        <v>39</v>
      </c>
      <c r="J33" t="s">
        <v>40</v>
      </c>
      <c r="K33">
        <v>2008</v>
      </c>
      <c r="L33">
        <v>1.57540659890791</v>
      </c>
      <c r="M33" s="7">
        <v>9.9755358049999998</v>
      </c>
      <c r="N33" s="7">
        <f t="shared" si="0"/>
        <v>2.135433069472852E-4</v>
      </c>
      <c r="O33" s="8">
        <v>12.813444260000001</v>
      </c>
      <c r="P33" s="8">
        <f t="shared" si="1"/>
        <v>2.7429356318821915E-4</v>
      </c>
      <c r="Q33" s="8">
        <v>0.26851148400000002</v>
      </c>
      <c r="R33" s="8">
        <f t="shared" si="2"/>
        <v>5.7479449091790482E-6</v>
      </c>
      <c r="S33" s="8">
        <v>3.2624896379999999</v>
      </c>
      <c r="T33" s="8">
        <f t="shared" si="3"/>
        <v>6.9839138448139868E-5</v>
      </c>
      <c r="U33" s="8">
        <v>1.6788885999999999E-2</v>
      </c>
      <c r="V33" s="8">
        <f t="shared" si="4"/>
        <v>3.5939465372917671E-7</v>
      </c>
      <c r="W33" s="8">
        <v>0.115799982</v>
      </c>
      <c r="X33" s="8">
        <f t="shared" si="5"/>
        <v>7.693453700806286E-12</v>
      </c>
      <c r="Y33" s="8">
        <v>9.7244040000000004E-2</v>
      </c>
      <c r="Z33" s="8">
        <f t="shared" si="6"/>
        <v>2.0816740362062269E-6</v>
      </c>
      <c r="AA33" s="8">
        <v>0.109793059</v>
      </c>
      <c r="AB33" s="8">
        <f t="shared" si="7"/>
        <v>2.3503071270584642E-6</v>
      </c>
      <c r="AC33" s="8">
        <v>6.3178579690000003</v>
      </c>
      <c r="AD33" s="18">
        <f t="shared" si="8"/>
        <v>1.3524449311758235E-4</v>
      </c>
      <c r="AE33" s="9">
        <v>96.6</v>
      </c>
      <c r="AF33" s="10">
        <v>94.2</v>
      </c>
      <c r="AG33" s="10">
        <v>76.400000000000006</v>
      </c>
      <c r="AH33" s="10">
        <v>97.1</v>
      </c>
      <c r="AI33" s="10">
        <v>94.7</v>
      </c>
      <c r="AJ33" s="10">
        <v>97.6</v>
      </c>
      <c r="AK33" s="11">
        <v>46714.345430000001</v>
      </c>
      <c r="AL33" s="11">
        <v>57.147511899999998</v>
      </c>
      <c r="AM33" s="11">
        <v>7173.0462989999996</v>
      </c>
      <c r="AN33" s="11">
        <v>3.9</v>
      </c>
      <c r="AO33" s="11">
        <v>85.402000000000001</v>
      </c>
      <c r="AP33" s="19">
        <v>20.412338500000001</v>
      </c>
    </row>
    <row r="34" spans="1:42">
      <c r="A34">
        <v>1075</v>
      </c>
      <c r="B34" s="12" t="s">
        <v>134</v>
      </c>
      <c r="C34" t="s">
        <v>135</v>
      </c>
      <c r="D34" t="s">
        <v>136</v>
      </c>
      <c r="E34" t="s">
        <v>35</v>
      </c>
      <c r="F34" t="s">
        <v>36</v>
      </c>
      <c r="G34" t="s">
        <v>37</v>
      </c>
      <c r="H34" t="s">
        <v>38</v>
      </c>
      <c r="I34" t="s">
        <v>39</v>
      </c>
      <c r="J34" t="s">
        <v>40</v>
      </c>
      <c r="K34">
        <v>2008</v>
      </c>
      <c r="L34">
        <v>0.62982074657156195</v>
      </c>
      <c r="M34" s="7">
        <v>86.481083150000003</v>
      </c>
      <c r="N34" s="7">
        <f t="shared" si="0"/>
        <v>1.3932213022791323E-3</v>
      </c>
      <c r="O34" s="8">
        <v>2.7725290820000001</v>
      </c>
      <c r="P34" s="8">
        <f t="shared" si="1"/>
        <v>4.4665797854669993E-5</v>
      </c>
      <c r="Q34" s="8">
        <v>0.225392233</v>
      </c>
      <c r="R34" s="8">
        <f t="shared" si="2"/>
        <v>3.6310976799307308E-6</v>
      </c>
      <c r="S34" s="8">
        <v>5.3399935760000004</v>
      </c>
      <c r="T34" s="8">
        <f t="shared" si="3"/>
        <v>8.6027978988338104E-5</v>
      </c>
      <c r="U34" s="8">
        <v>2.4934188999999999E-2</v>
      </c>
      <c r="V34" s="8">
        <f t="shared" si="4"/>
        <v>4.016929715091573E-7</v>
      </c>
      <c r="W34" s="8">
        <v>1.0534656999999999E-2</v>
      </c>
      <c r="X34" s="8">
        <f t="shared" si="5"/>
        <v>6.4713251094654274E-12</v>
      </c>
      <c r="Y34" s="8">
        <v>0.17025762</v>
      </c>
      <c r="Z34" s="8">
        <f t="shared" si="6"/>
        <v>2.7428720180101682E-6</v>
      </c>
      <c r="AA34" s="8">
        <v>3.1409544999999997E-2</v>
      </c>
      <c r="AB34" s="8">
        <f t="shared" si="7"/>
        <v>5.0601178425336362E-7</v>
      </c>
      <c r="AC34" s="8">
        <v>2.1639749419999998</v>
      </c>
      <c r="AD34" s="18">
        <f t="shared" si="8"/>
        <v>3.486191288288287E-5</v>
      </c>
      <c r="AE34" s="9">
        <v>94.7</v>
      </c>
      <c r="AF34" s="10">
        <v>97.1</v>
      </c>
      <c r="AG34" s="10">
        <v>95.7</v>
      </c>
      <c r="AH34" s="10">
        <v>88.8</v>
      </c>
      <c r="AI34" s="10">
        <v>100</v>
      </c>
      <c r="AJ34" s="10">
        <v>100</v>
      </c>
      <c r="AK34" s="11">
        <v>62072.753989999997</v>
      </c>
      <c r="AL34" s="11">
        <v>2.8057955799999998</v>
      </c>
      <c r="AM34" s="11">
        <v>24866.134310000001</v>
      </c>
      <c r="AN34" s="11">
        <v>58.5</v>
      </c>
      <c r="AO34" s="11">
        <v>78.525999999999996</v>
      </c>
      <c r="AP34" s="19">
        <v>4.4262083800000003</v>
      </c>
    </row>
    <row r="35" spans="1:42">
      <c r="A35">
        <v>1159</v>
      </c>
      <c r="B35" s="12" t="s">
        <v>137</v>
      </c>
      <c r="C35" t="s">
        <v>138</v>
      </c>
      <c r="D35" t="s">
        <v>139</v>
      </c>
      <c r="E35" t="s">
        <v>35</v>
      </c>
      <c r="F35" t="s">
        <v>36</v>
      </c>
      <c r="G35" t="s">
        <v>37</v>
      </c>
      <c r="H35" t="s">
        <v>38</v>
      </c>
      <c r="I35" t="s">
        <v>39</v>
      </c>
      <c r="J35" t="s">
        <v>40</v>
      </c>
      <c r="K35">
        <v>2008</v>
      </c>
      <c r="L35">
        <v>0.65457305035241897</v>
      </c>
      <c r="M35" s="7">
        <v>1.0735960680000001</v>
      </c>
      <c r="N35" s="7">
        <f t="shared" si="0"/>
        <v>5.8435340192476849E-5</v>
      </c>
      <c r="O35" s="8">
        <v>18.984895529999999</v>
      </c>
      <c r="P35" s="8">
        <f t="shared" si="1"/>
        <v>1.0333391318029519E-3</v>
      </c>
      <c r="Q35" s="8">
        <v>3.8510318560000001</v>
      </c>
      <c r="R35" s="8">
        <f t="shared" si="2"/>
        <v>2.0960989268211953E-4</v>
      </c>
      <c r="S35" s="8">
        <v>23.905224100000002</v>
      </c>
      <c r="T35" s="8">
        <f t="shared" si="3"/>
        <v>1.3011503528167691E-3</v>
      </c>
      <c r="U35" s="8">
        <v>8.5134205000000004E-2</v>
      </c>
      <c r="V35" s="8">
        <f t="shared" si="4"/>
        <v>4.6338156216040304E-6</v>
      </c>
      <c r="W35" s="8">
        <v>7.4295564999999994E-2</v>
      </c>
      <c r="X35" s="8">
        <f t="shared" si="5"/>
        <v>2.5221645301111986E-10</v>
      </c>
      <c r="Y35" s="8">
        <v>2.3340805999999999E-2</v>
      </c>
      <c r="Z35" s="8">
        <f t="shared" si="6"/>
        <v>1.2704293352316978E-6</v>
      </c>
      <c r="AA35" s="8">
        <v>0.24263950000000001</v>
      </c>
      <c r="AB35" s="8">
        <f t="shared" si="7"/>
        <v>1.320675638561717E-5</v>
      </c>
      <c r="AC35" s="8">
        <v>12.63908704</v>
      </c>
      <c r="AD35" s="18">
        <f t="shared" si="8"/>
        <v>6.8793969437742496E-4</v>
      </c>
      <c r="AE35" s="9">
        <v>70.900000000000006</v>
      </c>
      <c r="AF35" s="10">
        <v>67.5</v>
      </c>
      <c r="AG35" s="10">
        <v>77.900000000000006</v>
      </c>
      <c r="AH35" s="10">
        <v>74.8</v>
      </c>
      <c r="AI35" s="10">
        <v>66.8</v>
      </c>
      <c r="AJ35" s="10">
        <v>76</v>
      </c>
      <c r="AK35" s="11">
        <v>18372.37645</v>
      </c>
      <c r="AL35" s="11">
        <v>50.933725099999997</v>
      </c>
      <c r="AM35" s="11">
        <v>3725.7487780000001</v>
      </c>
      <c r="AN35" s="11">
        <v>8</v>
      </c>
      <c r="AO35" s="11">
        <v>61.116</v>
      </c>
      <c r="AP35" s="19">
        <v>2.7209993699999999</v>
      </c>
    </row>
    <row r="36" spans="1:42">
      <c r="A36">
        <v>1173</v>
      </c>
      <c r="B36" s="12" t="s">
        <v>140</v>
      </c>
      <c r="C36" t="s">
        <v>141</v>
      </c>
      <c r="D36" t="s">
        <v>142</v>
      </c>
      <c r="E36" t="s">
        <v>35</v>
      </c>
      <c r="F36" t="s">
        <v>36</v>
      </c>
      <c r="G36" t="s">
        <v>37</v>
      </c>
      <c r="H36" t="s">
        <v>38</v>
      </c>
      <c r="I36" t="s">
        <v>39</v>
      </c>
      <c r="J36" t="s">
        <v>40</v>
      </c>
      <c r="K36">
        <v>2008</v>
      </c>
      <c r="L36">
        <v>0.65207188273996797</v>
      </c>
      <c r="M36" s="7">
        <v>74.571039630000001</v>
      </c>
      <c r="N36" s="7">
        <f t="shared" si="0"/>
        <v>2.7965009608005072E-3</v>
      </c>
      <c r="O36" s="8">
        <v>4.8130196610000002</v>
      </c>
      <c r="P36" s="8">
        <f t="shared" si="1"/>
        <v>1.8049385087187943E-4</v>
      </c>
      <c r="Q36" s="8">
        <v>0.41989458800000001</v>
      </c>
      <c r="R36" s="8">
        <f t="shared" si="2"/>
        <v>1.5746536786977248E-5</v>
      </c>
      <c r="S36" s="8">
        <v>0.261455938</v>
      </c>
      <c r="T36" s="8">
        <f t="shared" si="3"/>
        <v>9.8049026197276024E-6</v>
      </c>
      <c r="U36" s="8">
        <v>5.9387802000000003E-2</v>
      </c>
      <c r="V36" s="8">
        <f t="shared" si="4"/>
        <v>2.2271118409621439E-6</v>
      </c>
      <c r="W36" s="8">
        <v>2.8606224999999999E-2</v>
      </c>
      <c r="X36" s="8">
        <f t="shared" si="5"/>
        <v>8.3519291590447981E-11</v>
      </c>
      <c r="Y36" s="8">
        <v>2.5805089999999999E-3</v>
      </c>
      <c r="Z36" s="8">
        <f t="shared" si="6"/>
        <v>9.6772097233189079E-8</v>
      </c>
      <c r="AA36" s="8">
        <v>4.1588009000000002E-2</v>
      </c>
      <c r="AB36" s="8">
        <f t="shared" si="7"/>
        <v>1.5595988429735152E-6</v>
      </c>
      <c r="AC36" s="8">
        <v>4.4813844449999998</v>
      </c>
      <c r="AD36" s="18">
        <f t="shared" si="8"/>
        <v>1.680571434747335E-4</v>
      </c>
      <c r="AE36" s="9">
        <v>81.599999999999994</v>
      </c>
      <c r="AF36" s="10">
        <v>82.5</v>
      </c>
      <c r="AG36" s="10">
        <v>81.3</v>
      </c>
      <c r="AH36" s="10">
        <v>82.5</v>
      </c>
      <c r="AI36" s="10">
        <v>83.7</v>
      </c>
      <c r="AJ36" s="10">
        <v>89.4</v>
      </c>
      <c r="AK36" s="11">
        <v>26665.837299999999</v>
      </c>
      <c r="AL36" s="11">
        <v>40.733136600000002</v>
      </c>
      <c r="AM36" s="11">
        <v>4850.8374130000002</v>
      </c>
      <c r="AN36" s="11">
        <v>23.2</v>
      </c>
      <c r="AO36" s="11">
        <v>59.359000000000002</v>
      </c>
      <c r="AP36" s="19">
        <v>2.9689259400000001</v>
      </c>
    </row>
    <row r="37" spans="1:42">
      <c r="A37">
        <v>1189</v>
      </c>
      <c r="B37" s="12" t="s">
        <v>143</v>
      </c>
      <c r="C37" t="s">
        <v>144</v>
      </c>
      <c r="D37" t="s">
        <v>145</v>
      </c>
      <c r="E37" t="s">
        <v>35</v>
      </c>
      <c r="F37" t="s">
        <v>36</v>
      </c>
      <c r="G37" t="s">
        <v>37</v>
      </c>
      <c r="H37" t="s">
        <v>38</v>
      </c>
      <c r="I37" t="s">
        <v>39</v>
      </c>
      <c r="J37" t="s">
        <v>40</v>
      </c>
      <c r="K37">
        <v>2008</v>
      </c>
      <c r="L37">
        <v>0.47912823668582899</v>
      </c>
      <c r="M37" s="7">
        <v>12.15030526</v>
      </c>
      <c r="N37" s="7">
        <f t="shared" si="0"/>
        <v>7.2400314695941716E-4</v>
      </c>
      <c r="O37" s="8">
        <v>11.39757779</v>
      </c>
      <c r="P37" s="8">
        <f t="shared" si="1"/>
        <v>6.7915019508528452E-4</v>
      </c>
      <c r="Q37" s="8">
        <v>1.2998461779999999</v>
      </c>
      <c r="R37" s="8">
        <f t="shared" si="2"/>
        <v>7.7454245247100128E-5</v>
      </c>
      <c r="S37" s="8">
        <v>4.4659860609999997</v>
      </c>
      <c r="T37" s="8">
        <f t="shared" si="3"/>
        <v>2.6611578007719054E-4</v>
      </c>
      <c r="U37" s="8">
        <v>2.1828825E-2</v>
      </c>
      <c r="V37" s="8">
        <f t="shared" si="4"/>
        <v>1.3007194186680375E-6</v>
      </c>
      <c r="W37" s="8">
        <v>1.4873589E-2</v>
      </c>
      <c r="X37" s="8">
        <f t="shared" si="5"/>
        <v>7.7506279247743181E-11</v>
      </c>
      <c r="Y37" s="8">
        <v>4.4502153000000003E-2</v>
      </c>
      <c r="Z37" s="8">
        <f t="shared" si="6"/>
        <v>2.6517604396771731E-6</v>
      </c>
      <c r="AA37" s="8">
        <v>3.6171218999999998E-2</v>
      </c>
      <c r="AB37" s="8">
        <f t="shared" si="7"/>
        <v>2.1553430819200885E-6</v>
      </c>
      <c r="AC37" s="8">
        <v>5.9338335190000002</v>
      </c>
      <c r="AD37" s="18">
        <f t="shared" si="8"/>
        <v>3.5358075779647307E-4</v>
      </c>
      <c r="AE37" s="9">
        <v>52.9</v>
      </c>
      <c r="AF37" s="10">
        <v>43.7</v>
      </c>
      <c r="AG37" s="10">
        <v>50.5</v>
      </c>
      <c r="AH37" s="10">
        <v>67.5</v>
      </c>
      <c r="AI37" s="10">
        <v>53.8</v>
      </c>
      <c r="AJ37" s="10">
        <v>62</v>
      </c>
      <c r="AK37" s="11">
        <v>16782.11664</v>
      </c>
      <c r="AL37" s="11">
        <v>59.304045199999997</v>
      </c>
      <c r="AM37" s="11">
        <v>2605.819735</v>
      </c>
      <c r="AN37" s="11">
        <v>20.399999999999999</v>
      </c>
      <c r="AO37" s="11">
        <v>53.567</v>
      </c>
      <c r="AP37" s="19">
        <v>6.37741866</v>
      </c>
    </row>
    <row r="38" spans="1:42">
      <c r="A38">
        <v>1289</v>
      </c>
      <c r="B38" t="s">
        <v>146</v>
      </c>
      <c r="C38" t="s">
        <v>147</v>
      </c>
      <c r="D38" t="s">
        <v>148</v>
      </c>
      <c r="E38" t="s">
        <v>35</v>
      </c>
      <c r="F38" t="s">
        <v>36</v>
      </c>
      <c r="G38" t="s">
        <v>37</v>
      </c>
      <c r="H38" t="s">
        <v>38</v>
      </c>
      <c r="I38" t="s">
        <v>39</v>
      </c>
      <c r="J38" t="s">
        <v>40</v>
      </c>
      <c r="K38">
        <v>2008</v>
      </c>
      <c r="L38">
        <v>0.78276031992721995</v>
      </c>
      <c r="M38" s="7">
        <v>0.99618259399999998</v>
      </c>
      <c r="N38" s="7">
        <f t="shared" si="0"/>
        <v>4.2007966087615349E-5</v>
      </c>
      <c r="O38" s="8">
        <v>1.8491213339999999</v>
      </c>
      <c r="P38" s="8">
        <f t="shared" si="1"/>
        <v>7.7975490395446566E-5</v>
      </c>
      <c r="Q38" s="8">
        <v>5.4189696000000002E-2</v>
      </c>
      <c r="R38" s="8">
        <f t="shared" si="2"/>
        <v>2.2851221508756707E-6</v>
      </c>
      <c r="S38" s="8">
        <v>1.1762368969999999</v>
      </c>
      <c r="T38" s="8">
        <f t="shared" si="3"/>
        <v>4.9600665558484857E-5</v>
      </c>
      <c r="U38" s="8">
        <v>2.0368325E-2</v>
      </c>
      <c r="V38" s="8">
        <f t="shared" si="4"/>
        <v>8.589107167852482E-7</v>
      </c>
      <c r="W38" s="8">
        <v>1.0112502000000001E-2</v>
      </c>
      <c r="X38" s="8">
        <f t="shared" si="5"/>
        <v>3.6219356250872314E-11</v>
      </c>
      <c r="Y38" s="8">
        <v>1.4564844E-2</v>
      </c>
      <c r="Z38" s="8">
        <f t="shared" si="6"/>
        <v>6.1418406274965283E-7</v>
      </c>
      <c r="AA38" s="8">
        <v>1.2834698E-2</v>
      </c>
      <c r="AB38" s="8">
        <f t="shared" si="7"/>
        <v>5.4122563632022719E-7</v>
      </c>
      <c r="AC38" s="8">
        <v>3.8039060469999999</v>
      </c>
      <c r="AD38" s="18">
        <f t="shared" si="8"/>
        <v>1.6040669369781315E-4</v>
      </c>
      <c r="AE38" s="9">
        <v>65</v>
      </c>
      <c r="AF38" s="10">
        <v>77.2</v>
      </c>
      <c r="AG38" s="10">
        <v>87</v>
      </c>
      <c r="AH38" s="10">
        <v>82</v>
      </c>
      <c r="AI38" s="10">
        <v>65.900000000000006</v>
      </c>
      <c r="AJ38" s="10">
        <v>74</v>
      </c>
      <c r="AK38" s="11">
        <v>23714.13536</v>
      </c>
      <c r="AL38" s="11">
        <v>40.2702703</v>
      </c>
      <c r="AM38" s="11">
        <v>5294.4350990000003</v>
      </c>
      <c r="AN38" s="11">
        <v>7.6</v>
      </c>
      <c r="AO38" s="11">
        <v>55.110999999999997</v>
      </c>
      <c r="AP38" s="19">
        <v>4.60268633</v>
      </c>
    </row>
    <row r="39" spans="1:42">
      <c r="A39">
        <v>1303</v>
      </c>
      <c r="B39" t="s">
        <v>149</v>
      </c>
      <c r="C39" t="s">
        <v>150</v>
      </c>
      <c r="D39" t="s">
        <v>151</v>
      </c>
      <c r="E39" t="s">
        <v>35</v>
      </c>
      <c r="F39" t="s">
        <v>36</v>
      </c>
      <c r="G39" t="s">
        <v>37</v>
      </c>
      <c r="H39" t="s">
        <v>38</v>
      </c>
      <c r="I39" t="s">
        <v>39</v>
      </c>
      <c r="J39" t="s">
        <v>40</v>
      </c>
      <c r="K39">
        <v>2008</v>
      </c>
      <c r="L39">
        <v>0.77259747348104302</v>
      </c>
      <c r="M39" s="7">
        <v>42.094186700000002</v>
      </c>
      <c r="N39" s="7">
        <f t="shared" si="0"/>
        <v>1.4288133600314529E-3</v>
      </c>
      <c r="O39" s="8">
        <v>1.5720180619999999</v>
      </c>
      <c r="P39" s="8">
        <f t="shared" si="1"/>
        <v>5.3359396754810153E-5</v>
      </c>
      <c r="Q39" s="8">
        <v>0.197964943</v>
      </c>
      <c r="R39" s="8">
        <f t="shared" si="2"/>
        <v>6.7195728805057311E-6</v>
      </c>
      <c r="S39" s="8">
        <v>1.31786984</v>
      </c>
      <c r="T39" s="8">
        <f t="shared" si="3"/>
        <v>4.4732780979814325E-5</v>
      </c>
      <c r="U39" s="8">
        <v>5.3406850000000004E-3</v>
      </c>
      <c r="V39" s="8">
        <f t="shared" si="4"/>
        <v>1.8128018802462289E-7</v>
      </c>
      <c r="W39" s="8">
        <v>4.7082169999999998E-3</v>
      </c>
      <c r="X39" s="8">
        <f t="shared" si="5"/>
        <v>6.1532381277387872E-12</v>
      </c>
      <c r="Y39" s="8">
        <v>5.8719210000000004E-3</v>
      </c>
      <c r="Z39" s="8">
        <f t="shared" si="6"/>
        <v>1.993120625810606E-7</v>
      </c>
      <c r="AA39" s="8">
        <v>1.3143200000000001E-2</v>
      </c>
      <c r="AB39" s="8">
        <f t="shared" si="7"/>
        <v>4.4612287885266094E-7</v>
      </c>
      <c r="AC39" s="8">
        <v>0.91711793600000002</v>
      </c>
      <c r="AD39" s="18">
        <f t="shared" si="8"/>
        <v>3.1129960272668029E-5</v>
      </c>
      <c r="AE39" s="9">
        <v>79.599999999999994</v>
      </c>
      <c r="AF39" s="10">
        <v>83</v>
      </c>
      <c r="AG39" s="10">
        <v>91.3</v>
      </c>
      <c r="AH39" s="10">
        <v>75.2</v>
      </c>
      <c r="AI39" s="10">
        <v>83.2</v>
      </c>
      <c r="AJ39" s="10">
        <v>80.8</v>
      </c>
      <c r="AK39" s="11">
        <v>29460.941419999999</v>
      </c>
      <c r="AL39" s="11">
        <v>30.703557</v>
      </c>
      <c r="AM39" s="11">
        <v>6920.2440390000002</v>
      </c>
      <c r="AN39" s="11">
        <v>17.600000000000001</v>
      </c>
      <c r="AO39" s="11">
        <v>52.209000000000003</v>
      </c>
      <c r="AP39" s="19">
        <v>1.9469551300000001</v>
      </c>
    </row>
    <row r="40" spans="1:42">
      <c r="A40">
        <v>1359</v>
      </c>
      <c r="B40" t="s">
        <v>152</v>
      </c>
      <c r="C40" t="s">
        <v>153</v>
      </c>
      <c r="D40" t="s">
        <v>154</v>
      </c>
      <c r="E40" t="s">
        <v>35</v>
      </c>
      <c r="F40" t="s">
        <v>36</v>
      </c>
      <c r="G40" t="s">
        <v>37</v>
      </c>
      <c r="H40" t="s">
        <v>38</v>
      </c>
      <c r="I40" t="s">
        <v>39</v>
      </c>
      <c r="J40" t="s">
        <v>40</v>
      </c>
      <c r="K40">
        <v>2008</v>
      </c>
      <c r="L40">
        <v>0.92840192475987804</v>
      </c>
      <c r="M40" s="7">
        <v>0.99618259399999998</v>
      </c>
      <c r="N40" s="7">
        <f t="shared" si="0"/>
        <v>2.9870593978096136E-5</v>
      </c>
      <c r="O40" s="8">
        <v>26.320358649999999</v>
      </c>
      <c r="P40" s="8">
        <f t="shared" si="1"/>
        <v>7.8921751025095763E-4</v>
      </c>
      <c r="Q40" s="8">
        <v>0.91187322999999998</v>
      </c>
      <c r="R40" s="8">
        <f t="shared" si="2"/>
        <v>2.7342572713958774E-5</v>
      </c>
      <c r="S40" s="8">
        <v>1.811161859</v>
      </c>
      <c r="T40" s="8">
        <f t="shared" si="3"/>
        <v>5.4307795422896942E-5</v>
      </c>
      <c r="U40" s="8">
        <v>9.0325055000000001E-2</v>
      </c>
      <c r="V40" s="8">
        <f t="shared" si="4"/>
        <v>2.7084021144362639E-6</v>
      </c>
      <c r="W40" s="8">
        <v>0.138319893</v>
      </c>
      <c r="X40" s="8">
        <f t="shared" si="5"/>
        <v>8.12115975294211E-11</v>
      </c>
      <c r="Y40" s="8">
        <v>4.5301701999999999E-2</v>
      </c>
      <c r="Z40" s="8">
        <f t="shared" si="6"/>
        <v>1.3583742128290043E-6</v>
      </c>
      <c r="AA40" s="8">
        <v>0.27279626000000001</v>
      </c>
      <c r="AB40" s="8">
        <f t="shared" si="7"/>
        <v>8.179811984551849E-6</v>
      </c>
      <c r="AC40" s="8">
        <v>16.223068860000001</v>
      </c>
      <c r="AD40" s="18">
        <f t="shared" si="8"/>
        <v>4.8644967891875755E-4</v>
      </c>
      <c r="AE40" s="9">
        <v>83.5</v>
      </c>
      <c r="AF40" s="10">
        <v>78.599999999999994</v>
      </c>
      <c r="AG40" s="10">
        <v>30.3</v>
      </c>
      <c r="AH40" s="10">
        <v>86.9</v>
      </c>
      <c r="AI40" s="10">
        <v>86.1</v>
      </c>
      <c r="AJ40" s="10">
        <v>87.5</v>
      </c>
      <c r="AK40" s="11">
        <v>33349.942580000003</v>
      </c>
      <c r="AL40" s="11">
        <v>56.419406600000002</v>
      </c>
      <c r="AM40" s="11">
        <v>6025.7727569999997</v>
      </c>
      <c r="AN40" s="11">
        <v>9.6999999999999993</v>
      </c>
      <c r="AO40" s="11">
        <v>77.975999999999999</v>
      </c>
      <c r="AP40" s="19">
        <v>4.5283253099999996</v>
      </c>
    </row>
    <row r="41" spans="1:42">
      <c r="A41">
        <v>1373</v>
      </c>
      <c r="B41" t="s">
        <v>155</v>
      </c>
      <c r="C41" t="s">
        <v>156</v>
      </c>
      <c r="D41" t="s">
        <v>157</v>
      </c>
      <c r="E41" t="s">
        <v>35</v>
      </c>
      <c r="F41" t="s">
        <v>36</v>
      </c>
      <c r="G41" t="s">
        <v>37</v>
      </c>
      <c r="H41" t="s">
        <v>38</v>
      </c>
      <c r="I41" t="s">
        <v>39</v>
      </c>
      <c r="J41" t="s">
        <v>40</v>
      </c>
      <c r="K41">
        <v>2008</v>
      </c>
      <c r="L41">
        <v>0.45905154160608802</v>
      </c>
      <c r="M41" s="7">
        <v>67.355563549999999</v>
      </c>
      <c r="N41" s="7">
        <f t="shared" si="0"/>
        <v>1.6072743767733772E-3</v>
      </c>
      <c r="O41" s="8">
        <v>4.2185560320000004</v>
      </c>
      <c r="P41" s="8">
        <f t="shared" si="1"/>
        <v>1.006654337051623E-4</v>
      </c>
      <c r="Q41" s="8">
        <v>0.27069167199999999</v>
      </c>
      <c r="R41" s="8">
        <f t="shared" si="2"/>
        <v>6.4593890315916365E-6</v>
      </c>
      <c r="S41" s="8">
        <v>0.142510215</v>
      </c>
      <c r="T41" s="8">
        <f t="shared" si="3"/>
        <v>3.4006547481104845E-6</v>
      </c>
      <c r="U41" s="8">
        <v>0.15979294499999999</v>
      </c>
      <c r="V41" s="8">
        <f t="shared" si="4"/>
        <v>3.8130644678966173E-6</v>
      </c>
      <c r="W41" s="8">
        <v>0.16246648999999999</v>
      </c>
      <c r="X41" s="8">
        <f t="shared" si="5"/>
        <v>9.0989377762176633E-11</v>
      </c>
      <c r="Y41" s="8">
        <v>1.3303252E-2</v>
      </c>
      <c r="Z41" s="8">
        <f t="shared" si="6"/>
        <v>3.1744929357597489E-7</v>
      </c>
      <c r="AA41" s="8">
        <v>6.7363559000000003E-2</v>
      </c>
      <c r="AB41" s="8">
        <f t="shared" si="7"/>
        <v>1.6074651684650871E-6</v>
      </c>
      <c r="AC41" s="8">
        <v>4.2217934799999997</v>
      </c>
      <c r="AD41" s="18">
        <f t="shared" si="8"/>
        <v>1.0074268741580304E-4</v>
      </c>
      <c r="AE41" s="9">
        <v>97.6</v>
      </c>
      <c r="AF41" s="10">
        <v>98.1</v>
      </c>
      <c r="AG41" s="10">
        <v>90.4</v>
      </c>
      <c r="AH41" s="10">
        <v>95.1</v>
      </c>
      <c r="AI41" s="10">
        <v>99</v>
      </c>
      <c r="AJ41" s="10">
        <v>98.6</v>
      </c>
      <c r="AK41" s="11">
        <v>41906.69902</v>
      </c>
      <c r="AL41" s="11">
        <v>7.55094581</v>
      </c>
      <c r="AM41" s="11">
        <v>14869.348980000001</v>
      </c>
      <c r="AN41" s="11">
        <v>43.2</v>
      </c>
      <c r="AO41" s="11">
        <v>84.745999999999995</v>
      </c>
      <c r="AP41" s="19">
        <v>8.05192832</v>
      </c>
    </row>
    <row r="42" spans="1:42">
      <c r="A42">
        <v>1387</v>
      </c>
      <c r="B42" t="s">
        <v>158</v>
      </c>
      <c r="C42" t="s">
        <v>159</v>
      </c>
      <c r="D42" t="s">
        <v>160</v>
      </c>
      <c r="E42" t="s">
        <v>35</v>
      </c>
      <c r="F42" t="s">
        <v>36</v>
      </c>
      <c r="G42" t="s">
        <v>37</v>
      </c>
      <c r="H42" t="s">
        <v>38</v>
      </c>
      <c r="I42" t="s">
        <v>39</v>
      </c>
      <c r="J42" t="s">
        <v>40</v>
      </c>
      <c r="K42">
        <v>2008</v>
      </c>
      <c r="L42">
        <v>0.54191908356503304</v>
      </c>
      <c r="M42" s="7">
        <v>42.094186700000002</v>
      </c>
      <c r="N42" s="7">
        <f t="shared" si="0"/>
        <v>7.8229209963094257E-4</v>
      </c>
      <c r="O42" s="8">
        <v>4.2093258200000001</v>
      </c>
      <c r="P42" s="8">
        <f t="shared" si="1"/>
        <v>7.8227484408400255E-5</v>
      </c>
      <c r="Q42" s="8">
        <v>0.24904051599999999</v>
      </c>
      <c r="R42" s="8">
        <f t="shared" si="2"/>
        <v>4.6282502033662843E-6</v>
      </c>
      <c r="S42" s="8">
        <v>0.36804724100000002</v>
      </c>
      <c r="T42" s="8">
        <f t="shared" si="3"/>
        <v>6.839910008886466E-6</v>
      </c>
      <c r="U42" s="8">
        <v>1.9305431000000001E-2</v>
      </c>
      <c r="V42" s="8">
        <f t="shared" si="4"/>
        <v>3.5877842845388171E-7</v>
      </c>
      <c r="W42" s="8">
        <v>3.9973094000000001E-2</v>
      </c>
      <c r="X42" s="8">
        <f t="shared" si="5"/>
        <v>6.6676553724098213E-12</v>
      </c>
      <c r="Y42" s="8">
        <v>2.8106400000000001E-3</v>
      </c>
      <c r="Z42" s="8">
        <f t="shared" si="6"/>
        <v>5.2233850782695191E-8</v>
      </c>
      <c r="AA42" s="8">
        <v>4.4273959000000002E-2</v>
      </c>
      <c r="AB42" s="8">
        <f t="shared" si="7"/>
        <v>8.2280169924471471E-7</v>
      </c>
      <c r="AC42" s="8">
        <v>0.55479697100000003</v>
      </c>
      <c r="AD42" s="18">
        <f t="shared" si="8"/>
        <v>1.0310527921720773E-5</v>
      </c>
      <c r="AE42" s="9">
        <v>97.1</v>
      </c>
      <c r="AF42" s="10">
        <v>98.5</v>
      </c>
      <c r="AG42" s="10">
        <v>94.7</v>
      </c>
      <c r="AH42" s="10">
        <v>93.7</v>
      </c>
      <c r="AI42" s="10">
        <v>96.6</v>
      </c>
      <c r="AJ42" s="10">
        <v>98.1</v>
      </c>
      <c r="AK42" s="11">
        <v>53808.784110000001</v>
      </c>
      <c r="AL42" s="11">
        <v>38.999110299999998</v>
      </c>
      <c r="AM42" s="11">
        <v>8305.6615249999995</v>
      </c>
      <c r="AN42" s="11">
        <v>19.600000000000001</v>
      </c>
      <c r="AO42" s="11">
        <v>73.555999999999997</v>
      </c>
      <c r="AP42" s="19">
        <v>0.52725306000000005</v>
      </c>
    </row>
    <row r="43" spans="1:42">
      <c r="A43">
        <v>1449</v>
      </c>
      <c r="B43" t="s">
        <v>161</v>
      </c>
      <c r="C43" t="s">
        <v>162</v>
      </c>
      <c r="D43" t="s">
        <v>163</v>
      </c>
      <c r="E43" t="s">
        <v>35</v>
      </c>
      <c r="F43" t="s">
        <v>36</v>
      </c>
      <c r="G43" t="s">
        <v>37</v>
      </c>
      <c r="H43" t="s">
        <v>38</v>
      </c>
      <c r="I43" t="s">
        <v>39</v>
      </c>
      <c r="J43" t="s">
        <v>40</v>
      </c>
      <c r="K43">
        <v>2008</v>
      </c>
      <c r="L43">
        <v>0.323368411493483</v>
      </c>
      <c r="M43" s="7">
        <v>50.054976189999998</v>
      </c>
      <c r="N43" s="7">
        <f t="shared" si="0"/>
        <v>3.1209660537482968E-3</v>
      </c>
      <c r="O43" s="8">
        <v>29.009850350000001</v>
      </c>
      <c r="P43" s="8">
        <f t="shared" si="1"/>
        <v>1.8087863596817776E-3</v>
      </c>
      <c r="Q43" s="8">
        <v>2.6849419399999999</v>
      </c>
      <c r="R43" s="8">
        <f t="shared" si="2"/>
        <v>1.6740818373816704E-4</v>
      </c>
      <c r="S43" s="8">
        <v>6.7988512180000003</v>
      </c>
      <c r="T43" s="8">
        <f t="shared" si="3"/>
        <v>4.2391357405345044E-4</v>
      </c>
      <c r="U43" s="8">
        <v>5.1898654000000002E-2</v>
      </c>
      <c r="V43" s="8">
        <f t="shared" si="4"/>
        <v>3.2359207754770141E-6</v>
      </c>
      <c r="W43" s="8">
        <v>9.3653571000000005E-2</v>
      </c>
      <c r="X43" s="8">
        <f t="shared" si="5"/>
        <v>2.0176213558763509E-10</v>
      </c>
      <c r="Y43" s="8">
        <v>1.431255E-2</v>
      </c>
      <c r="Z43" s="8">
        <f t="shared" si="6"/>
        <v>8.9239844052706146E-7</v>
      </c>
      <c r="AA43" s="8">
        <v>0.221024106</v>
      </c>
      <c r="AB43" s="8">
        <f t="shared" si="7"/>
        <v>1.3781022075960462E-5</v>
      </c>
      <c r="AC43" s="8">
        <v>27.078030120000001</v>
      </c>
      <c r="AD43" s="18">
        <f t="shared" si="8"/>
        <v>1.6883358906437215E-3</v>
      </c>
      <c r="AE43" s="9">
        <v>61.2</v>
      </c>
      <c r="AF43" s="10">
        <v>63.1</v>
      </c>
      <c r="AG43" s="10">
        <v>18.8</v>
      </c>
      <c r="AH43" s="10">
        <v>59.2</v>
      </c>
      <c r="AI43" s="10">
        <v>55.3</v>
      </c>
      <c r="AJ43" s="10">
        <v>46.2</v>
      </c>
      <c r="AK43" s="11">
        <v>16038.295620000001</v>
      </c>
      <c r="AL43" s="11">
        <v>50.832218099999999</v>
      </c>
      <c r="AM43" s="11">
        <v>2401.1255580000002</v>
      </c>
      <c r="AN43" s="11">
        <v>12.5</v>
      </c>
      <c r="AO43" s="11">
        <v>69.650999999999996</v>
      </c>
      <c r="AP43" s="19">
        <v>2.57654907</v>
      </c>
    </row>
    <row r="44" spans="1:42">
      <c r="A44">
        <v>1463</v>
      </c>
      <c r="B44" t="s">
        <v>164</v>
      </c>
      <c r="C44" t="s">
        <v>165</v>
      </c>
      <c r="D44" t="s">
        <v>166</v>
      </c>
      <c r="E44" t="s">
        <v>35</v>
      </c>
      <c r="F44" t="s">
        <v>36</v>
      </c>
      <c r="G44" t="s">
        <v>37</v>
      </c>
      <c r="H44" t="s">
        <v>38</v>
      </c>
      <c r="I44" t="s">
        <v>39</v>
      </c>
      <c r="J44" t="s">
        <v>40</v>
      </c>
      <c r="K44">
        <v>2008</v>
      </c>
      <c r="L44">
        <v>3.38873981487125E-2</v>
      </c>
      <c r="M44" s="7">
        <v>33.105152969999999</v>
      </c>
      <c r="N44" s="7">
        <f t="shared" si="0"/>
        <v>1.7146632765332834E-2</v>
      </c>
      <c r="O44" s="8">
        <v>14.932302999999999</v>
      </c>
      <c r="P44" s="8">
        <f t="shared" si="1"/>
        <v>7.7341046003835392E-3</v>
      </c>
      <c r="Q44" s="8">
        <v>2.4279748350000001</v>
      </c>
      <c r="R44" s="8">
        <f t="shared" si="2"/>
        <v>1.2575562752101244E-3</v>
      </c>
      <c r="S44" s="8">
        <v>2.9102304000000001</v>
      </c>
      <c r="T44" s="8">
        <f t="shared" si="3"/>
        <v>1.5073379052659211E-3</v>
      </c>
      <c r="U44" s="8">
        <v>6.8773387000000005E-2</v>
      </c>
      <c r="V44" s="8">
        <f t="shared" si="4"/>
        <v>3.5620799335551757E-5</v>
      </c>
      <c r="W44" s="8">
        <v>1.3116600000000001E-3</v>
      </c>
      <c r="X44" s="8">
        <f t="shared" si="5"/>
        <v>1.8449598029883922E-8</v>
      </c>
      <c r="Y44" s="8"/>
      <c r="Z44" s="8">
        <f t="shared" si="6"/>
        <v>0</v>
      </c>
      <c r="AA44" s="8">
        <v>8.9785279999999995E-3</v>
      </c>
      <c r="AB44" s="8">
        <f t="shared" si="7"/>
        <v>4.6503794297150553E-6</v>
      </c>
      <c r="AC44" s="8">
        <v>2.2244895059999998</v>
      </c>
      <c r="AD44" s="18">
        <f t="shared" si="8"/>
        <v>1.1521621629201808E-3</v>
      </c>
      <c r="AE44" s="9">
        <v>20.9</v>
      </c>
      <c r="AF44" s="10">
        <v>32</v>
      </c>
      <c r="AG44" s="10">
        <v>17.8</v>
      </c>
      <c r="AH44" s="10">
        <v>47.1</v>
      </c>
      <c r="AI44" s="10">
        <v>43.3</v>
      </c>
      <c r="AJ44" s="10">
        <v>31.3</v>
      </c>
      <c r="AK44" s="11">
        <v>1930.708695</v>
      </c>
      <c r="AL44" s="11">
        <v>69.6374055</v>
      </c>
      <c r="AM44" s="11">
        <v>53.045963049999997</v>
      </c>
      <c r="AN44" s="11">
        <v>94.1</v>
      </c>
      <c r="AO44" s="11">
        <v>18.384</v>
      </c>
      <c r="AP44" s="19">
        <v>5.0473718999999999</v>
      </c>
    </row>
    <row r="45" spans="1:42">
      <c r="A45">
        <v>1677</v>
      </c>
      <c r="B45" t="s">
        <v>167</v>
      </c>
      <c r="C45" t="s">
        <v>168</v>
      </c>
      <c r="D45" t="s">
        <v>169</v>
      </c>
      <c r="E45" t="s">
        <v>35</v>
      </c>
      <c r="F45" t="s">
        <v>36</v>
      </c>
      <c r="G45" t="s">
        <v>37</v>
      </c>
      <c r="H45" t="s">
        <v>38</v>
      </c>
      <c r="I45" t="s">
        <v>39</v>
      </c>
      <c r="J45" t="s">
        <v>40</v>
      </c>
      <c r="K45">
        <v>2008</v>
      </c>
      <c r="L45">
        <v>0.28969286899131103</v>
      </c>
      <c r="M45" s="7">
        <v>44027.325049999999</v>
      </c>
      <c r="N45" s="7">
        <f t="shared" si="0"/>
        <v>4.7220757925127197</v>
      </c>
      <c r="O45" s="8">
        <v>17.162035070000002</v>
      </c>
      <c r="P45" s="8">
        <f t="shared" si="1"/>
        <v>1.840684853378376E-3</v>
      </c>
      <c r="Q45" s="8">
        <v>0.77233117600000001</v>
      </c>
      <c r="R45" s="8">
        <f t="shared" si="2"/>
        <v>8.2835065402014034E-5</v>
      </c>
      <c r="S45" s="8">
        <v>50.127136389999997</v>
      </c>
      <c r="T45" s="8">
        <f t="shared" si="3"/>
        <v>5.3763006729658771E-3</v>
      </c>
      <c r="U45" s="8">
        <v>7.2470963999999999E-2</v>
      </c>
      <c r="V45" s="8">
        <f t="shared" si="4"/>
        <v>7.7727498633138234E-6</v>
      </c>
      <c r="W45" s="8">
        <v>5.5978964999999999E-2</v>
      </c>
      <c r="X45" s="8">
        <f t="shared" si="5"/>
        <v>8.3365305362358725E-10</v>
      </c>
      <c r="Y45" s="8">
        <v>0.14640407599999999</v>
      </c>
      <c r="Z45" s="8">
        <f t="shared" si="6"/>
        <v>1.5702319921087109E-5</v>
      </c>
      <c r="AA45" s="8">
        <v>0.20257122699999999</v>
      </c>
      <c r="AB45" s="8">
        <f t="shared" si="7"/>
        <v>2.1726432078032846E-5</v>
      </c>
      <c r="AC45" s="8">
        <v>11.238014099999999</v>
      </c>
      <c r="AD45" s="18">
        <f t="shared" si="8"/>
        <v>1.2053140697796405E-3</v>
      </c>
      <c r="AE45" s="9">
        <v>19.899999999999999</v>
      </c>
      <c r="AF45" s="10">
        <v>22.8</v>
      </c>
      <c r="AG45" s="10">
        <v>45.7</v>
      </c>
      <c r="AH45" s="10">
        <v>34</v>
      </c>
      <c r="AI45" s="10">
        <v>27.4</v>
      </c>
      <c r="AJ45" s="10">
        <v>50.5</v>
      </c>
      <c r="AK45" s="11">
        <v>9323.7226559999999</v>
      </c>
      <c r="AL45" s="11">
        <v>71.276669200000001</v>
      </c>
      <c r="AM45" s="11">
        <v>3492.0094170000002</v>
      </c>
      <c r="AN45" s="11">
        <v>2.7</v>
      </c>
      <c r="AO45" s="11">
        <v>68.325000000000003</v>
      </c>
      <c r="AP45" s="19">
        <v>5.6881493699999996</v>
      </c>
    </row>
    <row r="46" spans="1:42">
      <c r="A46">
        <v>1705</v>
      </c>
      <c r="B46" t="s">
        <v>170</v>
      </c>
      <c r="C46" t="s">
        <v>171</v>
      </c>
      <c r="D46" t="s">
        <v>172</v>
      </c>
      <c r="E46" t="s">
        <v>35</v>
      </c>
      <c r="F46" t="s">
        <v>36</v>
      </c>
      <c r="G46" t="s">
        <v>37</v>
      </c>
      <c r="H46" t="s">
        <v>38</v>
      </c>
      <c r="I46" t="s">
        <v>39</v>
      </c>
      <c r="J46" t="s">
        <v>40</v>
      </c>
      <c r="K46">
        <v>2008</v>
      </c>
      <c r="L46">
        <v>0.84953763935869997</v>
      </c>
      <c r="M46" s="7">
        <v>447.8410695</v>
      </c>
      <c r="N46" s="7">
        <f t="shared" si="0"/>
        <v>1.218787895983307E-2</v>
      </c>
      <c r="O46" s="8">
        <v>32.443052469999998</v>
      </c>
      <c r="P46" s="8">
        <f t="shared" si="1"/>
        <v>8.8292928791309361E-4</v>
      </c>
      <c r="Q46" s="8">
        <v>0.67995978899999998</v>
      </c>
      <c r="R46" s="8">
        <f t="shared" si="2"/>
        <v>1.8504929918861838E-5</v>
      </c>
      <c r="S46" s="8">
        <v>6.9539788720000004</v>
      </c>
      <c r="T46" s="8">
        <f t="shared" si="3"/>
        <v>1.8925073771326484E-4</v>
      </c>
      <c r="U46" s="8">
        <v>7.3342379999999999E-2</v>
      </c>
      <c r="V46" s="8">
        <f t="shared" si="4"/>
        <v>1.9959939160204283E-6</v>
      </c>
      <c r="W46" s="8">
        <v>0.216963563</v>
      </c>
      <c r="X46" s="8">
        <f t="shared" si="5"/>
        <v>5.4320458550575589E-11</v>
      </c>
      <c r="Y46" s="8">
        <v>7.7778143999999994E-2</v>
      </c>
      <c r="Z46" s="8">
        <f t="shared" si="6"/>
        <v>2.1167120868365704E-6</v>
      </c>
      <c r="AA46" s="8">
        <v>0.265186531</v>
      </c>
      <c r="AB46" s="8">
        <f t="shared" si="7"/>
        <v>7.216982902471432E-6</v>
      </c>
      <c r="AC46" s="8">
        <v>21.26854492</v>
      </c>
      <c r="AD46" s="18">
        <f t="shared" si="8"/>
        <v>5.7881795304334522E-4</v>
      </c>
      <c r="AE46" s="9">
        <v>92.2</v>
      </c>
      <c r="AF46" s="10">
        <v>93.2</v>
      </c>
      <c r="AG46" s="10">
        <v>61.1</v>
      </c>
      <c r="AH46" s="10">
        <v>97.6</v>
      </c>
      <c r="AI46" s="10">
        <v>93.3</v>
      </c>
      <c r="AJ46" s="10">
        <v>92.3</v>
      </c>
      <c r="AK46" s="11">
        <v>36744.791360000003</v>
      </c>
      <c r="AL46" s="11">
        <v>73.095523499999999</v>
      </c>
      <c r="AM46" s="11">
        <v>6015.3870930000003</v>
      </c>
      <c r="AN46" s="11">
        <v>2.4</v>
      </c>
      <c r="AO46" s="11">
        <v>80.757000000000005</v>
      </c>
      <c r="AP46" s="19">
        <v>8.6520481999999994</v>
      </c>
    </row>
    <row r="47" spans="1:42">
      <c r="A47">
        <v>1727</v>
      </c>
      <c r="B47" t="s">
        <v>173</v>
      </c>
      <c r="C47" t="s">
        <v>174</v>
      </c>
      <c r="D47" t="s">
        <v>175</v>
      </c>
      <c r="E47" t="s">
        <v>35</v>
      </c>
      <c r="F47" t="s">
        <v>36</v>
      </c>
      <c r="G47" t="s">
        <v>37</v>
      </c>
      <c r="H47" t="s">
        <v>38</v>
      </c>
      <c r="I47" t="s">
        <v>39</v>
      </c>
      <c r="J47" t="s">
        <v>40</v>
      </c>
      <c r="K47">
        <v>2008</v>
      </c>
      <c r="L47">
        <v>3.8039366720883497E-2</v>
      </c>
      <c r="M47" s="7">
        <v>16.04623175</v>
      </c>
      <c r="N47" s="7">
        <f t="shared" si="0"/>
        <v>5.9254738474486231E-3</v>
      </c>
      <c r="O47" s="8">
        <v>3.0503883329999999</v>
      </c>
      <c r="P47" s="8">
        <f t="shared" si="1"/>
        <v>1.12643245924414E-3</v>
      </c>
      <c r="Q47" s="8">
        <v>1.368362074</v>
      </c>
      <c r="R47" s="8">
        <f t="shared" si="2"/>
        <v>5.0530204285050028E-4</v>
      </c>
      <c r="S47" s="8">
        <v>3.0079967289999998</v>
      </c>
      <c r="T47" s="8">
        <f t="shared" si="3"/>
        <v>1.1107782954026264E-3</v>
      </c>
      <c r="U47" s="8">
        <v>4.414175E-2</v>
      </c>
      <c r="V47" s="8">
        <f t="shared" si="4"/>
        <v>1.6300449182133698E-5</v>
      </c>
      <c r="W47" s="14">
        <v>2.8742300000000001E-5</v>
      </c>
      <c r="X47" s="8">
        <f t="shared" si="5"/>
        <v>6.0193500153329473E-9</v>
      </c>
      <c r="Y47" s="8"/>
      <c r="Z47" s="8">
        <f t="shared" si="6"/>
        <v>0</v>
      </c>
      <c r="AA47" s="8">
        <v>5.6572139999999998E-3</v>
      </c>
      <c r="AB47" s="8">
        <f t="shared" si="7"/>
        <v>2.0890682702759925E-6</v>
      </c>
      <c r="AC47" s="8">
        <v>0.55701392599999999</v>
      </c>
      <c r="AD47" s="18">
        <f t="shared" si="8"/>
        <v>2.0569137368826065E-4</v>
      </c>
      <c r="AE47" s="9">
        <v>41.7</v>
      </c>
      <c r="AF47" s="10">
        <v>25.2</v>
      </c>
      <c r="AG47" s="10">
        <v>60.1</v>
      </c>
      <c r="AH47" s="10">
        <v>35</v>
      </c>
      <c r="AI47" s="10">
        <v>41.3</v>
      </c>
      <c r="AJ47" s="10">
        <v>43.3</v>
      </c>
      <c r="AK47" s="11">
        <v>2708.0081970000001</v>
      </c>
      <c r="AL47" s="11">
        <v>31.0563769</v>
      </c>
      <c r="AM47" s="11">
        <v>581.81487540000001</v>
      </c>
      <c r="AN47" s="11">
        <v>89.8</v>
      </c>
      <c r="AO47" s="11">
        <v>38.371000000000002</v>
      </c>
      <c r="AP47" s="19">
        <v>5.2405081100000004</v>
      </c>
    </row>
    <row r="48" spans="1:42"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 t="s">
        <v>37</v>
      </c>
      <c r="H48" t="s">
        <v>38</v>
      </c>
      <c r="I48" t="s">
        <v>39</v>
      </c>
      <c r="J48" t="s">
        <v>40</v>
      </c>
      <c r="K48">
        <v>2009</v>
      </c>
      <c r="L48">
        <v>0.65369976181621103</v>
      </c>
      <c r="M48" s="7">
        <v>599.48827029999995</v>
      </c>
      <c r="N48" s="7">
        <f t="shared" si="0"/>
        <v>1.4871065549825856E-2</v>
      </c>
      <c r="O48" s="8">
        <v>79.354752009999999</v>
      </c>
      <c r="P48" s="8">
        <f t="shared" si="1"/>
        <v>1.9684950937244139E-3</v>
      </c>
      <c r="Q48" s="8">
        <v>0.53606965200000001</v>
      </c>
      <c r="R48" s="8">
        <f t="shared" si="2"/>
        <v>1.3297886429329083E-5</v>
      </c>
      <c r="S48" s="8">
        <v>46.976705039999999</v>
      </c>
      <c r="T48" s="8">
        <f t="shared" si="3"/>
        <v>1.1653166451698542E-3</v>
      </c>
      <c r="U48" s="8">
        <v>0.132419866</v>
      </c>
      <c r="V48" s="8">
        <f t="shared" si="4"/>
        <v>3.2848424313618404E-6</v>
      </c>
      <c r="W48" s="8">
        <v>0.103202576</v>
      </c>
      <c r="X48" s="8">
        <f t="shared" si="5"/>
        <v>8.1484675410222573E-11</v>
      </c>
      <c r="Y48" s="8">
        <v>2.5435432000000001E-2</v>
      </c>
      <c r="Z48" s="8">
        <f t="shared" si="6"/>
        <v>6.3095809426071134E-7</v>
      </c>
      <c r="AA48" s="8">
        <v>0.30592426</v>
      </c>
      <c r="AB48" s="8">
        <f t="shared" si="7"/>
        <v>7.5888385964004212E-6</v>
      </c>
      <c r="AC48" s="8">
        <v>14.68458622</v>
      </c>
      <c r="AD48" s="18">
        <f t="shared" si="8"/>
        <v>3.642697531686626E-4</v>
      </c>
      <c r="AE48" s="9">
        <v>96.2</v>
      </c>
      <c r="AF48" s="10">
        <v>94.3</v>
      </c>
      <c r="AG48" s="10">
        <v>76.8</v>
      </c>
      <c r="AH48" s="10">
        <v>99</v>
      </c>
      <c r="AI48" s="10">
        <v>94.8</v>
      </c>
      <c r="AJ48" s="10">
        <v>94.3</v>
      </c>
      <c r="AK48" s="11">
        <v>40312.395120000001</v>
      </c>
      <c r="AL48" s="11">
        <v>50.018484100000002</v>
      </c>
      <c r="AM48" s="11">
        <v>10885.98458</v>
      </c>
      <c r="AN48" s="11">
        <v>7.1</v>
      </c>
      <c r="AO48" s="11">
        <v>85.063000000000002</v>
      </c>
      <c r="AP48" s="19">
        <v>3.1152189300000002</v>
      </c>
    </row>
    <row r="49" spans="2:42">
      <c r="B49" t="s">
        <v>41</v>
      </c>
      <c r="C49" t="s">
        <v>42</v>
      </c>
      <c r="D49" t="s">
        <v>43</v>
      </c>
      <c r="E49" t="s">
        <v>35</v>
      </c>
      <c r="F49" t="s">
        <v>36</v>
      </c>
      <c r="G49" t="s">
        <v>37</v>
      </c>
      <c r="H49" t="s">
        <v>38</v>
      </c>
      <c r="I49" t="s">
        <v>39</v>
      </c>
      <c r="J49" t="s">
        <v>40</v>
      </c>
      <c r="K49">
        <v>2009</v>
      </c>
      <c r="L49">
        <v>0.54751338423526097</v>
      </c>
      <c r="M49" s="7">
        <v>82.749432589999998</v>
      </c>
      <c r="N49" s="7">
        <f t="shared" si="0"/>
        <v>2.0348802574038927E-3</v>
      </c>
      <c r="O49" s="8">
        <v>5.4312590030000001</v>
      </c>
      <c r="P49" s="8">
        <f t="shared" si="1"/>
        <v>1.335593655706522E-4</v>
      </c>
      <c r="Q49" s="8">
        <v>0.67000498600000002</v>
      </c>
      <c r="R49" s="8">
        <f t="shared" si="2"/>
        <v>1.6476003226858762E-5</v>
      </c>
      <c r="S49" s="8">
        <v>0.78527608699999996</v>
      </c>
      <c r="T49" s="8">
        <f t="shared" si="3"/>
        <v>1.9310619493489889E-5</v>
      </c>
      <c r="U49" s="8">
        <v>5.8508764999999997E-2</v>
      </c>
      <c r="V49" s="8">
        <f t="shared" si="4"/>
        <v>1.4387812345914706E-6</v>
      </c>
      <c r="W49" s="8">
        <v>7.4152275000000004E-2</v>
      </c>
      <c r="X49" s="8">
        <f t="shared" si="5"/>
        <v>3.538087739525106E-11</v>
      </c>
      <c r="Y49" s="8">
        <v>1.4956199999999999E-2</v>
      </c>
      <c r="Z49" s="8">
        <f t="shared" si="6"/>
        <v>3.6778591892679587E-7</v>
      </c>
      <c r="AA49" s="8">
        <v>3.6547989000000003E-2</v>
      </c>
      <c r="AB49" s="8">
        <f t="shared" si="7"/>
        <v>8.9874672171349867E-7</v>
      </c>
      <c r="AC49" s="8">
        <v>2.5714590039999998</v>
      </c>
      <c r="AD49" s="18">
        <f t="shared" si="8"/>
        <v>6.3234405314767343E-5</v>
      </c>
      <c r="AE49" s="9">
        <v>92.8</v>
      </c>
      <c r="AF49" s="10">
        <v>93.8</v>
      </c>
      <c r="AG49" s="10">
        <v>91</v>
      </c>
      <c r="AH49" s="10">
        <v>92.3</v>
      </c>
      <c r="AI49" s="10">
        <v>96.2</v>
      </c>
      <c r="AJ49" s="10">
        <v>94.8</v>
      </c>
      <c r="AK49" s="11">
        <v>40665.504659999999</v>
      </c>
      <c r="AL49" s="11">
        <v>33.870576800000002</v>
      </c>
      <c r="AM49" s="11">
        <v>7944.796096</v>
      </c>
      <c r="AN49" s="11">
        <v>31.3</v>
      </c>
      <c r="AO49" s="11">
        <v>57.683</v>
      </c>
      <c r="AP49" s="19">
        <v>3.5813719700000002</v>
      </c>
    </row>
    <row r="50" spans="2:42">
      <c r="B50" t="s">
        <v>44</v>
      </c>
      <c r="C50" t="s">
        <v>45</v>
      </c>
      <c r="D50" t="s">
        <v>46</v>
      </c>
      <c r="E50" t="s">
        <v>35</v>
      </c>
      <c r="F50" t="s">
        <v>36</v>
      </c>
      <c r="G50" t="s">
        <v>37</v>
      </c>
      <c r="H50" t="s">
        <v>38</v>
      </c>
      <c r="I50" t="s">
        <v>39</v>
      </c>
      <c r="J50" t="s">
        <v>40</v>
      </c>
      <c r="K50">
        <v>2009</v>
      </c>
      <c r="L50">
        <v>3.0897574540398601E-2</v>
      </c>
      <c r="M50" s="7">
        <v>45.962260409999999</v>
      </c>
      <c r="N50" s="7">
        <f t="shared" si="0"/>
        <v>3.2264398551218642E-3</v>
      </c>
      <c r="O50" s="8">
        <v>7.3540423800000001</v>
      </c>
      <c r="P50" s="8">
        <f t="shared" si="1"/>
        <v>5.1623604277575711E-4</v>
      </c>
      <c r="Q50" s="8">
        <v>4.2256251000000002E-2</v>
      </c>
      <c r="R50" s="8">
        <f t="shared" si="2"/>
        <v>2.9662869305873014E-6</v>
      </c>
      <c r="S50" s="8">
        <v>5.2825576950000004</v>
      </c>
      <c r="T50" s="8">
        <f t="shared" si="3"/>
        <v>3.7082281271833321E-4</v>
      </c>
      <c r="U50" s="8">
        <v>1.1067270000000001E-3</v>
      </c>
      <c r="V50" s="8">
        <f t="shared" si="4"/>
        <v>7.768956682475433E-8</v>
      </c>
      <c r="W50" s="8">
        <v>7.4986779999999999E-3</v>
      </c>
      <c r="X50" s="8">
        <f t="shared" si="5"/>
        <v>5.4536202635500615E-12</v>
      </c>
      <c r="Y50" s="8">
        <v>5.10714E-4</v>
      </c>
      <c r="Z50" s="8">
        <f t="shared" si="6"/>
        <v>3.5850891350204326E-8</v>
      </c>
      <c r="AA50" s="8">
        <v>2.9591341E-2</v>
      </c>
      <c r="AB50" s="8">
        <f t="shared" si="7"/>
        <v>2.0772407866199999E-6</v>
      </c>
      <c r="AC50" s="8">
        <v>2.4164576790000001</v>
      </c>
      <c r="AD50" s="18">
        <f t="shared" si="8"/>
        <v>1.6962950242639896E-4</v>
      </c>
      <c r="AE50" s="9">
        <v>9.1</v>
      </c>
      <c r="AF50" s="10">
        <v>30.1</v>
      </c>
      <c r="AG50" s="10">
        <v>35.5</v>
      </c>
      <c r="AH50" s="10">
        <v>41.6</v>
      </c>
      <c r="AI50" s="10">
        <v>20.399999999999999</v>
      </c>
      <c r="AJ50" s="10">
        <v>13.3</v>
      </c>
      <c r="AK50" s="11">
        <v>14245.503549999999</v>
      </c>
      <c r="AL50" s="11">
        <v>57.579095199999998</v>
      </c>
      <c r="AM50" s="11">
        <v>1620.38742</v>
      </c>
      <c r="AN50" s="11">
        <v>3.3</v>
      </c>
      <c r="AO50" s="11">
        <v>53.19</v>
      </c>
      <c r="AP50" s="19">
        <v>6.5474623599999999</v>
      </c>
    </row>
    <row r="51" spans="2:42">
      <c r="B51" t="s">
        <v>47</v>
      </c>
      <c r="C51" t="s">
        <v>48</v>
      </c>
      <c r="D51" t="s">
        <v>49</v>
      </c>
      <c r="E51" t="s">
        <v>35</v>
      </c>
      <c r="F51" t="s">
        <v>36</v>
      </c>
      <c r="G51" t="s">
        <v>37</v>
      </c>
      <c r="H51" t="s">
        <v>38</v>
      </c>
      <c r="I51" t="s">
        <v>39</v>
      </c>
      <c r="J51" t="s">
        <v>40</v>
      </c>
      <c r="K51">
        <v>2009</v>
      </c>
      <c r="L51">
        <v>1.04233230295001</v>
      </c>
      <c r="M51" s="7">
        <v>2.3114704E-2</v>
      </c>
      <c r="N51" s="7">
        <f t="shared" si="0"/>
        <v>6.1011353549022208E-7</v>
      </c>
      <c r="O51" s="8">
        <v>7.3924242610000004</v>
      </c>
      <c r="P51" s="8">
        <f t="shared" si="1"/>
        <v>1.9512333368934347E-4</v>
      </c>
      <c r="Q51" s="8">
        <v>0.29564560899999998</v>
      </c>
      <c r="R51" s="8">
        <f t="shared" si="2"/>
        <v>7.8035776603130972E-6</v>
      </c>
      <c r="S51" s="8">
        <v>2.4080279240000002</v>
      </c>
      <c r="T51" s="8">
        <f t="shared" si="3"/>
        <v>6.3559993252382542E-5</v>
      </c>
      <c r="U51" s="8">
        <v>3.6317618000000003E-2</v>
      </c>
      <c r="V51" s="8">
        <f t="shared" si="4"/>
        <v>9.5860497796395438E-7</v>
      </c>
      <c r="W51" s="8">
        <v>7.2660049000000004E-2</v>
      </c>
      <c r="X51" s="8">
        <f t="shared" si="5"/>
        <v>2.5302416688706663E-11</v>
      </c>
      <c r="Y51" s="8">
        <v>5.2908375000000001E-2</v>
      </c>
      <c r="Z51" s="8">
        <f t="shared" si="6"/>
        <v>1.3965186717637605E-6</v>
      </c>
      <c r="AA51" s="8">
        <v>4.1545770000000003E-2</v>
      </c>
      <c r="AB51" s="8">
        <f t="shared" si="7"/>
        <v>1.0966022588636049E-6</v>
      </c>
      <c r="AC51" s="8">
        <v>2.7857641289999999</v>
      </c>
      <c r="AD51" s="18">
        <f t="shared" si="8"/>
        <v>7.3530355473556104E-5</v>
      </c>
      <c r="AE51" s="9">
        <v>90.9</v>
      </c>
      <c r="AF51" s="10">
        <v>92.3</v>
      </c>
      <c r="AG51" s="10">
        <v>75.400000000000006</v>
      </c>
      <c r="AH51" s="10">
        <v>87.6</v>
      </c>
      <c r="AI51" s="10">
        <v>88.6</v>
      </c>
      <c r="AJ51" s="10">
        <v>93.4</v>
      </c>
      <c r="AK51" s="11">
        <v>37885.905910000001</v>
      </c>
      <c r="AL51" s="11">
        <v>44.954340199999997</v>
      </c>
      <c r="AM51" s="11">
        <v>7910.9948020000002</v>
      </c>
      <c r="AN51" s="11">
        <v>4.9000000000000004</v>
      </c>
      <c r="AO51" s="11">
        <v>97.602999999999994</v>
      </c>
      <c r="AP51" s="19">
        <v>15.948905699999999</v>
      </c>
    </row>
    <row r="52" spans="2:42">
      <c r="B52" t="s">
        <v>50</v>
      </c>
      <c r="C52" t="s">
        <v>51</v>
      </c>
      <c r="D52" t="s">
        <v>52</v>
      </c>
      <c r="E52" t="s">
        <v>35</v>
      </c>
      <c r="F52" t="s">
        <v>36</v>
      </c>
      <c r="G52" t="s">
        <v>37</v>
      </c>
      <c r="H52" t="s">
        <v>38</v>
      </c>
      <c r="I52" t="s">
        <v>39</v>
      </c>
      <c r="J52" t="s">
        <v>40</v>
      </c>
      <c r="K52">
        <v>2009</v>
      </c>
      <c r="L52">
        <v>1.09733250079101</v>
      </c>
      <c r="M52" s="7">
        <v>176.96260670000001</v>
      </c>
      <c r="N52" s="7">
        <f t="shared" si="0"/>
        <v>1.2479091752303802E-2</v>
      </c>
      <c r="O52" s="8">
        <v>2.329216685</v>
      </c>
      <c r="P52" s="8">
        <f t="shared" si="1"/>
        <v>1.6425226360045419E-4</v>
      </c>
      <c r="Q52" s="8">
        <v>0.28811267899999998</v>
      </c>
      <c r="R52" s="8">
        <f t="shared" si="2"/>
        <v>2.0317199341091379E-5</v>
      </c>
      <c r="S52" s="8">
        <v>1.0109678660000001</v>
      </c>
      <c r="T52" s="8">
        <f t="shared" si="3"/>
        <v>7.1291675646665168E-5</v>
      </c>
      <c r="U52" s="8">
        <v>6.4832589999999999E-3</v>
      </c>
      <c r="V52" s="8">
        <f t="shared" si="4"/>
        <v>4.5718802081224874E-7</v>
      </c>
      <c r="W52" s="8">
        <v>7.9403459999999992E-3</v>
      </c>
      <c r="X52" s="8">
        <f t="shared" si="5"/>
        <v>3.2240095046985041E-11</v>
      </c>
      <c r="Y52" s="8">
        <v>7.3515539999999997E-3</v>
      </c>
      <c r="Z52" s="8">
        <f t="shared" si="6"/>
        <v>5.1841865690609783E-7</v>
      </c>
      <c r="AA52" s="8">
        <v>4.3538720000000003E-2</v>
      </c>
      <c r="AB52" s="8">
        <f t="shared" si="7"/>
        <v>3.0702739510327557E-6</v>
      </c>
      <c r="AC52" s="8">
        <v>6.2129177819999999</v>
      </c>
      <c r="AD52" s="18">
        <f t="shared" si="8"/>
        <v>4.3812403364138413E-4</v>
      </c>
      <c r="AE52" s="9">
        <v>50.7</v>
      </c>
      <c r="AF52" s="10">
        <v>57.9</v>
      </c>
      <c r="AG52" s="10">
        <v>55.9</v>
      </c>
      <c r="AH52" s="10">
        <v>73.2</v>
      </c>
      <c r="AI52" s="10">
        <v>54</v>
      </c>
      <c r="AJ52" s="10">
        <v>64.900000000000006</v>
      </c>
      <c r="AK52" s="11">
        <v>14180.728069999999</v>
      </c>
      <c r="AL52" s="11">
        <v>46.3338246</v>
      </c>
      <c r="AM52" s="11">
        <v>4483.7471390000001</v>
      </c>
      <c r="AN52" s="11">
        <v>11.6</v>
      </c>
      <c r="AO52" s="11">
        <v>71.962999999999994</v>
      </c>
      <c r="AP52" s="19">
        <v>7.4901573299999997</v>
      </c>
    </row>
    <row r="53" spans="2:42">
      <c r="B53" t="s">
        <v>53</v>
      </c>
      <c r="C53" t="s">
        <v>54</v>
      </c>
      <c r="D53" t="s">
        <v>55</v>
      </c>
      <c r="E53" t="s">
        <v>35</v>
      </c>
      <c r="F53" t="s">
        <v>36</v>
      </c>
      <c r="G53" t="s">
        <v>37</v>
      </c>
      <c r="H53" t="s">
        <v>38</v>
      </c>
      <c r="I53" t="s">
        <v>39</v>
      </c>
      <c r="J53" t="s">
        <v>40</v>
      </c>
      <c r="K53">
        <v>2009</v>
      </c>
      <c r="L53">
        <v>0.68349567946725498</v>
      </c>
      <c r="M53" s="7">
        <v>10.06106894</v>
      </c>
      <c r="N53" s="7">
        <f t="shared" si="0"/>
        <v>2.5887850611333634E-4</v>
      </c>
      <c r="O53" s="8">
        <v>30.360127179999999</v>
      </c>
      <c r="P53" s="8">
        <f t="shared" si="1"/>
        <v>7.8118780585249609E-4</v>
      </c>
      <c r="Q53" s="8">
        <v>1.046160838</v>
      </c>
      <c r="R53" s="8">
        <f t="shared" si="2"/>
        <v>2.6918467263351847E-5</v>
      </c>
      <c r="S53" s="8">
        <v>67.946521559999994</v>
      </c>
      <c r="T53" s="8">
        <f t="shared" si="3"/>
        <v>1.7483126397353158E-3</v>
      </c>
      <c r="U53" s="8">
        <v>0.29934592399999999</v>
      </c>
      <c r="V53" s="8">
        <f t="shared" si="4"/>
        <v>7.7023849134102358E-6</v>
      </c>
      <c r="W53" s="8">
        <v>0.120857222</v>
      </c>
      <c r="X53" s="8">
        <f t="shared" si="5"/>
        <v>1.9818787762859135E-10</v>
      </c>
      <c r="Y53" s="8">
        <v>9.9522447E-2</v>
      </c>
      <c r="Z53" s="8">
        <f t="shared" si="6"/>
        <v>2.5607838051553684E-6</v>
      </c>
      <c r="AA53" s="8">
        <v>0.875108742</v>
      </c>
      <c r="AB53" s="8">
        <f t="shared" si="7"/>
        <v>2.2517174384422919E-5</v>
      </c>
      <c r="AC53" s="8">
        <v>19.17165009</v>
      </c>
      <c r="AD53" s="18">
        <f t="shared" si="8"/>
        <v>4.9330028097658673E-4</v>
      </c>
      <c r="AE53" s="9">
        <v>96.7</v>
      </c>
      <c r="AF53" s="10">
        <v>95.7</v>
      </c>
      <c r="AG53" s="10">
        <v>89.1</v>
      </c>
      <c r="AH53" s="10">
        <v>96.7</v>
      </c>
      <c r="AI53" s="10">
        <v>96.7</v>
      </c>
      <c r="AJ53" s="10">
        <v>95.3</v>
      </c>
      <c r="AK53" s="11">
        <v>38864.056700000001</v>
      </c>
      <c r="AL53" s="11">
        <v>6.5646544200000001</v>
      </c>
      <c r="AM53" s="11">
        <v>16305.28917</v>
      </c>
      <c r="AN53" s="11">
        <v>22.2</v>
      </c>
      <c r="AO53" s="11">
        <v>80.757999999999996</v>
      </c>
      <c r="AP53" s="19">
        <v>1.5241311799999999</v>
      </c>
    </row>
    <row r="54" spans="2:42">
      <c r="B54" t="s">
        <v>56</v>
      </c>
      <c r="C54" t="s">
        <v>57</v>
      </c>
      <c r="D54" t="s">
        <v>58</v>
      </c>
      <c r="E54" t="s">
        <v>35</v>
      </c>
      <c r="F54" t="s">
        <v>36</v>
      </c>
      <c r="G54" t="s">
        <v>37</v>
      </c>
      <c r="H54" t="s">
        <v>38</v>
      </c>
      <c r="I54" t="s">
        <v>39</v>
      </c>
      <c r="J54" t="s">
        <v>40</v>
      </c>
      <c r="K54">
        <v>2009</v>
      </c>
      <c r="L54">
        <v>7.8818700017795507E-2</v>
      </c>
      <c r="M54" s="7">
        <v>703.82658879999997</v>
      </c>
      <c r="N54" s="7">
        <f t="shared" si="0"/>
        <v>4.4123378249935563E-2</v>
      </c>
      <c r="O54" s="8">
        <v>8.7281732400000003</v>
      </c>
      <c r="P54" s="8">
        <f t="shared" si="1"/>
        <v>5.4717524945469302E-4</v>
      </c>
      <c r="Q54" s="8">
        <v>1.054619897</v>
      </c>
      <c r="R54" s="8">
        <f t="shared" si="2"/>
        <v>6.6114854661255285E-5</v>
      </c>
      <c r="S54" s="8">
        <v>2.019443324</v>
      </c>
      <c r="T54" s="8">
        <f t="shared" si="3"/>
        <v>1.2660030617922454E-4</v>
      </c>
      <c r="U54" s="8">
        <v>6.7265238000000005E-2</v>
      </c>
      <c r="V54" s="8">
        <f t="shared" si="4"/>
        <v>4.2169045423620964E-6</v>
      </c>
      <c r="W54" s="8">
        <v>3.9743597999999998E-2</v>
      </c>
      <c r="X54" s="8">
        <f t="shared" si="5"/>
        <v>2.6436067793879034E-10</v>
      </c>
      <c r="Y54" s="8">
        <v>6.7182214000000004E-2</v>
      </c>
      <c r="Z54" s="8">
        <f t="shared" si="6"/>
        <v>4.2116997100722729E-6</v>
      </c>
      <c r="AA54" s="8">
        <v>7.1020284000000003E-2</v>
      </c>
      <c r="AB54" s="8">
        <f t="shared" si="7"/>
        <v>4.4523109871319583E-6</v>
      </c>
      <c r="AC54" s="8">
        <v>11.40851445</v>
      </c>
      <c r="AD54" s="18">
        <f t="shared" si="8"/>
        <v>7.1520770365532057E-4</v>
      </c>
      <c r="AE54" s="9">
        <v>88</v>
      </c>
      <c r="AF54" s="10">
        <v>82.3</v>
      </c>
      <c r="AG54" s="10">
        <v>66.8</v>
      </c>
      <c r="AH54" s="10">
        <v>91.9</v>
      </c>
      <c r="AI54" s="10">
        <v>86.7</v>
      </c>
      <c r="AJ54" s="10">
        <v>79.099999999999994</v>
      </c>
      <c r="AK54" s="11">
        <v>15951.33049</v>
      </c>
      <c r="AL54" s="11">
        <v>20.313786400000001</v>
      </c>
      <c r="AM54" s="11">
        <v>3272.597315</v>
      </c>
      <c r="AN54" s="11">
        <v>31.5</v>
      </c>
      <c r="AO54" s="11">
        <v>87.016999999999996</v>
      </c>
      <c r="AP54" s="19">
        <v>7.4225624799999999</v>
      </c>
    </row>
    <row r="55" spans="2:42">
      <c r="B55" t="s">
        <v>59</v>
      </c>
      <c r="C55" t="s">
        <v>60</v>
      </c>
      <c r="D55" t="s">
        <v>61</v>
      </c>
      <c r="E55" t="s">
        <v>35</v>
      </c>
      <c r="F55" t="s">
        <v>36</v>
      </c>
      <c r="G55" t="s">
        <v>37</v>
      </c>
      <c r="H55" t="s">
        <v>38</v>
      </c>
      <c r="I55" t="s">
        <v>39</v>
      </c>
      <c r="J55" t="s">
        <v>40</v>
      </c>
      <c r="K55">
        <v>2009</v>
      </c>
      <c r="L55">
        <v>8.6797366013169897E-2</v>
      </c>
      <c r="M55" s="7">
        <v>0.25257227399999999</v>
      </c>
      <c r="N55" s="7">
        <f t="shared" si="0"/>
        <v>1.2411687415438308E-5</v>
      </c>
      <c r="O55" s="8">
        <v>1.4646149150000001</v>
      </c>
      <c r="P55" s="8">
        <f t="shared" si="1"/>
        <v>7.1972834630964867E-5</v>
      </c>
      <c r="Q55" s="8">
        <v>0.39727382300000003</v>
      </c>
      <c r="R55" s="8">
        <f t="shared" si="2"/>
        <v>1.9522485312113735E-5</v>
      </c>
      <c r="S55" s="8">
        <v>0.378258394</v>
      </c>
      <c r="T55" s="8">
        <f t="shared" si="3"/>
        <v>1.8588045608654991E-5</v>
      </c>
      <c r="U55" s="8">
        <v>5.4732779999999998E-3</v>
      </c>
      <c r="V55" s="8">
        <f t="shared" si="4"/>
        <v>2.6896307578794396E-7</v>
      </c>
      <c r="W55" s="8">
        <v>3.6518779999999999E-3</v>
      </c>
      <c r="X55" s="8">
        <f t="shared" si="5"/>
        <v>1.3217149967041924E-11</v>
      </c>
      <c r="Y55" s="8">
        <v>1.224562E-3</v>
      </c>
      <c r="Z55" s="8">
        <f t="shared" si="6"/>
        <v>6.0176362686681774E-8</v>
      </c>
      <c r="AA55" s="8">
        <v>1.904231E-2</v>
      </c>
      <c r="AB55" s="8">
        <f t="shared" si="7"/>
        <v>9.357606662237006E-7</v>
      </c>
      <c r="AC55" s="8">
        <v>1.566039191</v>
      </c>
      <c r="AD55" s="18">
        <f t="shared" si="8"/>
        <v>7.6956938349527189E-5</v>
      </c>
      <c r="AE55" s="9">
        <v>56</v>
      </c>
      <c r="AF55" s="10">
        <v>69.900000000000006</v>
      </c>
      <c r="AG55" s="10">
        <v>68.2</v>
      </c>
      <c r="AH55" s="10">
        <v>65.099999999999994</v>
      </c>
      <c r="AI55" s="10">
        <v>55.5</v>
      </c>
      <c r="AJ55" s="10">
        <v>61.1</v>
      </c>
      <c r="AK55" s="11">
        <v>20349.551640000001</v>
      </c>
      <c r="AL55" s="11">
        <v>23.2220713</v>
      </c>
      <c r="AM55" s="11">
        <v>3818.422501</v>
      </c>
      <c r="AN55" s="11">
        <v>27.2</v>
      </c>
      <c r="AO55" s="11">
        <v>54.987000000000002</v>
      </c>
      <c r="AP55" s="19">
        <v>4.9254145899999999</v>
      </c>
    </row>
    <row r="56" spans="2:42">
      <c r="B56" t="s">
        <v>62</v>
      </c>
      <c r="C56" t="s">
        <v>63</v>
      </c>
      <c r="D56" t="s">
        <v>64</v>
      </c>
      <c r="E56" t="s">
        <v>35</v>
      </c>
      <c r="F56" t="s">
        <v>36</v>
      </c>
      <c r="G56" t="s">
        <v>37</v>
      </c>
      <c r="H56" t="s">
        <v>38</v>
      </c>
      <c r="I56" t="s">
        <v>39</v>
      </c>
      <c r="J56" t="s">
        <v>40</v>
      </c>
      <c r="K56">
        <v>2009</v>
      </c>
      <c r="L56">
        <v>0.292361650290488</v>
      </c>
      <c r="M56" s="7">
        <v>9.4077136859999992</v>
      </c>
      <c r="N56" s="7">
        <f t="shared" si="0"/>
        <v>2.7764699234496682E-4</v>
      </c>
      <c r="O56" s="8">
        <v>0.34983504199999998</v>
      </c>
      <c r="P56" s="8">
        <f t="shared" si="1"/>
        <v>1.0324575180547767E-5</v>
      </c>
      <c r="Q56" s="8">
        <v>7.2849079999999997E-3</v>
      </c>
      <c r="R56" s="8">
        <f t="shared" si="2"/>
        <v>2.1499727385621329E-7</v>
      </c>
      <c r="S56" s="8">
        <v>3.1513299999999999E-3</v>
      </c>
      <c r="T56" s="8">
        <f t="shared" si="3"/>
        <v>9.3004243707854738E-8</v>
      </c>
      <c r="U56" s="8">
        <v>1.2825009999999999E-3</v>
      </c>
      <c r="V56" s="8">
        <f t="shared" si="4"/>
        <v>3.7850061897537678E-8</v>
      </c>
      <c r="W56" s="8">
        <v>2.1074129999999998E-3</v>
      </c>
      <c r="X56" s="8">
        <f t="shared" si="5"/>
        <v>1.1170573634230566E-12</v>
      </c>
      <c r="Y56" s="8"/>
      <c r="Z56" s="8">
        <f t="shared" si="6"/>
        <v>0</v>
      </c>
      <c r="AA56" s="8">
        <v>5.8051179999999997E-3</v>
      </c>
      <c r="AB56" s="8">
        <f t="shared" si="7"/>
        <v>1.7132468171370635E-7</v>
      </c>
      <c r="AC56" s="8">
        <v>0.26067794100000002</v>
      </c>
      <c r="AD56" s="18">
        <f t="shared" si="8"/>
        <v>7.6933087788412451E-6</v>
      </c>
      <c r="AE56" s="9">
        <v>78</v>
      </c>
      <c r="AF56" s="10">
        <v>88</v>
      </c>
      <c r="AG56" s="10">
        <v>57.8</v>
      </c>
      <c r="AH56" s="10">
        <v>88.5</v>
      </c>
      <c r="AI56" s="10">
        <v>87.2</v>
      </c>
      <c r="AJ56" s="10">
        <v>82.5</v>
      </c>
      <c r="AK56" s="11">
        <v>33883.722659999999</v>
      </c>
      <c r="AL56" s="11">
        <v>13.809523799999999</v>
      </c>
      <c r="AM56" s="11">
        <v>4530.4952089999997</v>
      </c>
      <c r="AN56" s="11">
        <v>6.3</v>
      </c>
      <c r="AO56" s="11">
        <v>67.694999999999993</v>
      </c>
      <c r="AP56" s="19">
        <v>252.66777300000001</v>
      </c>
    </row>
    <row r="57" spans="2:42">
      <c r="B57" t="s">
        <v>65</v>
      </c>
      <c r="C57" t="s">
        <v>66</v>
      </c>
      <c r="D57" t="s">
        <v>67</v>
      </c>
      <c r="E57" t="s">
        <v>35</v>
      </c>
      <c r="F57" t="s">
        <v>36</v>
      </c>
      <c r="G57" t="s">
        <v>37</v>
      </c>
      <c r="H57" t="s">
        <v>38</v>
      </c>
      <c r="I57" t="s">
        <v>39</v>
      </c>
      <c r="J57" t="s">
        <v>40</v>
      </c>
      <c r="K57">
        <v>2009</v>
      </c>
      <c r="L57">
        <v>0.68512411742094703</v>
      </c>
      <c r="M57" s="7">
        <v>9.4077136859999992</v>
      </c>
      <c r="N57" s="7">
        <f t="shared" si="0"/>
        <v>3.3964323661621652E-4</v>
      </c>
      <c r="O57" s="8">
        <v>5.031345741</v>
      </c>
      <c r="P57" s="8">
        <f t="shared" si="1"/>
        <v>1.8164482987524208E-4</v>
      </c>
      <c r="Q57" s="8">
        <v>0.81036181699999998</v>
      </c>
      <c r="R57" s="8">
        <f t="shared" si="2"/>
        <v>2.9256195452213315E-5</v>
      </c>
      <c r="S57" s="8">
        <v>3.9021718879999998</v>
      </c>
      <c r="T57" s="8">
        <f t="shared" si="3"/>
        <v>1.4087868042215548E-4</v>
      </c>
      <c r="U57" s="8">
        <v>3.5299558000000002E-2</v>
      </c>
      <c r="V57" s="8">
        <f t="shared" si="4"/>
        <v>1.2744069951962462E-6</v>
      </c>
      <c r="W57" s="8">
        <v>3.5188336000000001E-2</v>
      </c>
      <c r="X57" s="8">
        <f t="shared" si="5"/>
        <v>4.6009448316750168E-11</v>
      </c>
      <c r="Y57" s="8">
        <v>1.3150241E-2</v>
      </c>
      <c r="Z57" s="8">
        <f t="shared" si="6"/>
        <v>4.7475832753816574E-7</v>
      </c>
      <c r="AA57" s="8">
        <v>5.5369426999999999E-2</v>
      </c>
      <c r="AB57" s="8">
        <f t="shared" si="7"/>
        <v>1.9989821144165005E-6</v>
      </c>
      <c r="AC57" s="8">
        <v>5.0105495400000004</v>
      </c>
      <c r="AD57" s="18">
        <f t="shared" si="8"/>
        <v>1.8089403225823205E-4</v>
      </c>
      <c r="AE57" s="9">
        <v>68.900000000000006</v>
      </c>
      <c r="AF57" s="10">
        <v>76.099999999999994</v>
      </c>
      <c r="AG57" s="10">
        <v>79.099999999999994</v>
      </c>
      <c r="AH57" s="10">
        <v>87.1</v>
      </c>
      <c r="AI57" s="10">
        <v>80.599999999999994</v>
      </c>
      <c r="AJ57" s="10">
        <v>81</v>
      </c>
      <c r="AK57" s="11">
        <v>27698.81061</v>
      </c>
      <c r="AL57" s="11">
        <v>45.907172500000001</v>
      </c>
      <c r="AM57" s="11">
        <v>6133.1283530000001</v>
      </c>
      <c r="AN57" s="11">
        <v>10.199999999999999</v>
      </c>
      <c r="AO57" s="11">
        <v>73.323999999999998</v>
      </c>
      <c r="AP57" s="19">
        <v>2.54701925</v>
      </c>
    </row>
    <row r="58" spans="2:42">
      <c r="B58" t="s">
        <v>68</v>
      </c>
      <c r="C58" t="s">
        <v>69</v>
      </c>
      <c r="D58" t="s">
        <v>70</v>
      </c>
      <c r="E58" t="s">
        <v>35</v>
      </c>
      <c r="F58" t="s">
        <v>36</v>
      </c>
      <c r="G58" t="s">
        <v>37</v>
      </c>
      <c r="H58" t="s">
        <v>38</v>
      </c>
      <c r="I58" t="s">
        <v>39</v>
      </c>
      <c r="J58" t="s">
        <v>40</v>
      </c>
      <c r="K58">
        <v>2009</v>
      </c>
      <c r="L58">
        <v>0.44061381662266103</v>
      </c>
      <c r="M58" s="7">
        <v>703.82658879999997</v>
      </c>
      <c r="N58" s="7">
        <f t="shared" si="0"/>
        <v>1.7377059302578941E-2</v>
      </c>
      <c r="O58" s="8">
        <v>6.6370717560000001</v>
      </c>
      <c r="P58" s="8">
        <f t="shared" si="1"/>
        <v>1.6386534884412675E-4</v>
      </c>
      <c r="Q58" s="8">
        <v>0.36180805500000002</v>
      </c>
      <c r="R58" s="8">
        <f t="shared" si="2"/>
        <v>8.9328253975246005E-6</v>
      </c>
      <c r="S58" s="8">
        <v>0.399477215</v>
      </c>
      <c r="T58" s="8">
        <f t="shared" si="3"/>
        <v>9.8628545234693439E-6</v>
      </c>
      <c r="U58" s="8">
        <v>1.0659864999999999E-2</v>
      </c>
      <c r="V58" s="8">
        <f t="shared" si="4"/>
        <v>2.6318571820128096E-7</v>
      </c>
      <c r="W58" s="8">
        <v>7.0067417000000007E-2</v>
      </c>
      <c r="X58" s="8">
        <f t="shared" si="5"/>
        <v>6.4978986380337916E-12</v>
      </c>
      <c r="Y58" s="15">
        <v>5.04E-9</v>
      </c>
      <c r="Z58" s="8">
        <f t="shared" si="6"/>
        <v>1.2443459834945904E-13</v>
      </c>
      <c r="AA58" s="8">
        <v>2.7137577E-2</v>
      </c>
      <c r="AB58" s="8">
        <f t="shared" si="7"/>
        <v>6.7001061392311864E-7</v>
      </c>
      <c r="AC58" s="8">
        <v>1.308453648</v>
      </c>
      <c r="AD58" s="18">
        <f t="shared" si="8"/>
        <v>3.2304941299159618E-5</v>
      </c>
      <c r="AE58" s="9">
        <v>100</v>
      </c>
      <c r="AF58" s="10">
        <v>99.5</v>
      </c>
      <c r="AG58" s="10">
        <v>85.3</v>
      </c>
      <c r="AH58" s="10">
        <v>100</v>
      </c>
      <c r="AI58" s="10">
        <v>98.6</v>
      </c>
      <c r="AJ58" s="10">
        <v>97.6</v>
      </c>
      <c r="AK58" s="11">
        <v>40503.20463</v>
      </c>
      <c r="AL58" s="11">
        <v>65.849999999999994</v>
      </c>
      <c r="AM58" s="11">
        <v>6219.7010920000002</v>
      </c>
      <c r="AN58" s="11">
        <v>19.3</v>
      </c>
      <c r="AO58" s="11">
        <v>86.653999999999996</v>
      </c>
      <c r="AP58" s="19">
        <v>1.17142792</v>
      </c>
    </row>
    <row r="59" spans="2:42">
      <c r="B59" t="s">
        <v>71</v>
      </c>
      <c r="C59" t="s">
        <v>72</v>
      </c>
      <c r="D59" t="s">
        <v>73</v>
      </c>
      <c r="E59" t="s">
        <v>35</v>
      </c>
      <c r="F59" t="s">
        <v>36</v>
      </c>
      <c r="G59" t="s">
        <v>37</v>
      </c>
      <c r="H59" t="s">
        <v>38</v>
      </c>
      <c r="I59" t="s">
        <v>39</v>
      </c>
      <c r="J59" t="s">
        <v>40</v>
      </c>
      <c r="K59">
        <v>2009</v>
      </c>
      <c r="L59">
        <v>0.15282687671675099</v>
      </c>
      <c r="M59" s="7">
        <v>292.22271000000001</v>
      </c>
      <c r="N59" s="7">
        <f t="shared" si="0"/>
        <v>4.8200287050813924E-2</v>
      </c>
      <c r="O59" s="8">
        <v>2.3389870259999999</v>
      </c>
      <c r="P59" s="8">
        <f t="shared" si="1"/>
        <v>3.8580111060269602E-4</v>
      </c>
      <c r="Q59" s="8">
        <v>0.13384351799999999</v>
      </c>
      <c r="R59" s="8">
        <f t="shared" si="2"/>
        <v>2.2076641433825525E-5</v>
      </c>
      <c r="S59" s="8">
        <v>3.0024841E-2</v>
      </c>
      <c r="T59" s="8">
        <f t="shared" si="3"/>
        <v>4.9524075485271044E-6</v>
      </c>
      <c r="U59" s="8">
        <v>7.4077589999999999E-3</v>
      </c>
      <c r="V59" s="8">
        <f t="shared" si="4"/>
        <v>1.2218629763691203E-6</v>
      </c>
      <c r="W59" s="8">
        <v>5.633267E-3</v>
      </c>
      <c r="X59" s="8">
        <f t="shared" si="5"/>
        <v>2.0153856692983742E-10</v>
      </c>
      <c r="Y59" s="8"/>
      <c r="Z59" s="8">
        <f t="shared" si="6"/>
        <v>0</v>
      </c>
      <c r="AA59" s="8">
        <v>1.4623364999999999E-2</v>
      </c>
      <c r="AB59" s="8">
        <f t="shared" si="7"/>
        <v>2.412031531186695E-6</v>
      </c>
      <c r="AC59" s="8">
        <v>1.102412116</v>
      </c>
      <c r="AD59" s="18">
        <f t="shared" si="8"/>
        <v>1.8183590330640346E-4</v>
      </c>
      <c r="AE59" s="9">
        <v>50.2</v>
      </c>
      <c r="AF59" s="10">
        <v>54.1</v>
      </c>
      <c r="AG59" s="10">
        <v>44.1</v>
      </c>
      <c r="AH59" s="10">
        <v>61.7</v>
      </c>
      <c r="AI59" s="10">
        <v>26.5</v>
      </c>
      <c r="AJ59" s="10">
        <v>49.8</v>
      </c>
      <c r="AK59" s="11">
        <v>6062.6757200000002</v>
      </c>
      <c r="AL59" s="11">
        <v>59.541505800000003</v>
      </c>
      <c r="AM59" s="11">
        <v>861.40206160000002</v>
      </c>
      <c r="AN59" s="11">
        <v>32.200000000000003</v>
      </c>
      <c r="AO59" s="11">
        <v>64.569999999999993</v>
      </c>
      <c r="AP59" s="19">
        <v>2.0948639999999998</v>
      </c>
    </row>
    <row r="60" spans="2:42">
      <c r="B60" t="s">
        <v>74</v>
      </c>
      <c r="C60" t="s">
        <v>75</v>
      </c>
      <c r="D60" t="s">
        <v>76</v>
      </c>
      <c r="E60" t="s">
        <v>35</v>
      </c>
      <c r="F60" t="s">
        <v>36</v>
      </c>
      <c r="G60" t="s">
        <v>37</v>
      </c>
      <c r="H60" t="s">
        <v>38</v>
      </c>
      <c r="I60" t="s">
        <v>39</v>
      </c>
      <c r="J60" t="s">
        <v>40</v>
      </c>
      <c r="K60">
        <v>2009</v>
      </c>
      <c r="L60">
        <v>0.77059919925614895</v>
      </c>
      <c r="M60" s="7">
        <v>5.5386272559999998</v>
      </c>
      <c r="N60" s="7">
        <f t="shared" si="0"/>
        <v>2.7046386215861325E-4</v>
      </c>
      <c r="O60" s="8">
        <v>0.79562982599999998</v>
      </c>
      <c r="P60" s="8">
        <f t="shared" si="1"/>
        <v>3.8852427802472334E-5</v>
      </c>
      <c r="Q60" s="8">
        <v>0.15521939600000001</v>
      </c>
      <c r="R60" s="8">
        <f t="shared" si="2"/>
        <v>7.5797188335085913E-6</v>
      </c>
      <c r="S60" s="8">
        <v>3.8649892999999998E-2</v>
      </c>
      <c r="T60" s="8">
        <f t="shared" si="3"/>
        <v>1.8873628517739615E-6</v>
      </c>
      <c r="U60" s="8">
        <v>4.1451420000000001E-3</v>
      </c>
      <c r="V60" s="8">
        <f t="shared" si="4"/>
        <v>2.0241678356336001E-7</v>
      </c>
      <c r="W60" s="8">
        <v>1.4053196E-2</v>
      </c>
      <c r="X60" s="8">
        <f t="shared" si="5"/>
        <v>9.884475433685054E-12</v>
      </c>
      <c r="Y60" s="8"/>
      <c r="Z60" s="8">
        <f t="shared" si="6"/>
        <v>0</v>
      </c>
      <c r="AA60" s="8">
        <v>3.9605320000000001E-3</v>
      </c>
      <c r="AB60" s="8">
        <f t="shared" si="7"/>
        <v>1.9340185418008873E-7</v>
      </c>
      <c r="AC60" s="8">
        <v>1.410162404</v>
      </c>
      <c r="AD60" s="18">
        <f t="shared" si="8"/>
        <v>6.8861461952245652E-5</v>
      </c>
      <c r="AE60" s="9">
        <v>80.400000000000006</v>
      </c>
      <c r="AF60" s="10">
        <v>78.900000000000006</v>
      </c>
      <c r="AG60" s="10">
        <v>64.5</v>
      </c>
      <c r="AH60" s="10">
        <v>89.5</v>
      </c>
      <c r="AI60" s="10">
        <v>84.4</v>
      </c>
      <c r="AJ60" s="10">
        <v>83.9</v>
      </c>
      <c r="AK60" s="11">
        <v>20478.252479999999</v>
      </c>
      <c r="AL60" s="11">
        <v>21.9815994</v>
      </c>
      <c r="AM60" s="11">
        <v>5975.9538110000003</v>
      </c>
      <c r="AN60" s="11">
        <v>24.2</v>
      </c>
      <c r="AO60" s="11">
        <v>68.222999999999999</v>
      </c>
      <c r="AP60" s="19">
        <v>9.5054417099999995</v>
      </c>
    </row>
    <row r="61" spans="2:42">
      <c r="B61" t="s">
        <v>77</v>
      </c>
      <c r="C61" t="s">
        <v>78</v>
      </c>
      <c r="D61" t="s">
        <v>79</v>
      </c>
      <c r="E61" t="s">
        <v>35</v>
      </c>
      <c r="F61" t="s">
        <v>36</v>
      </c>
      <c r="G61" t="s">
        <v>37</v>
      </c>
      <c r="H61" t="s">
        <v>38</v>
      </c>
      <c r="I61" t="s">
        <v>39</v>
      </c>
      <c r="J61" t="s">
        <v>40</v>
      </c>
      <c r="K61">
        <v>2009</v>
      </c>
      <c r="L61">
        <v>0.34058333837697502</v>
      </c>
      <c r="M61" s="7">
        <v>14.33990418</v>
      </c>
      <c r="N61" s="7">
        <f t="shared" si="0"/>
        <v>3.7767736661871605E-4</v>
      </c>
      <c r="O61" s="8">
        <v>2.6198411500000001</v>
      </c>
      <c r="P61" s="8">
        <f t="shared" si="1"/>
        <v>6.9000091916328888E-5</v>
      </c>
      <c r="Q61" s="8">
        <v>0.55468846599999999</v>
      </c>
      <c r="R61" s="8">
        <f t="shared" si="2"/>
        <v>1.4609112899431886E-5</v>
      </c>
      <c r="S61" s="8">
        <v>0.126122661</v>
      </c>
      <c r="T61" s="8">
        <f t="shared" si="3"/>
        <v>3.3217568178635518E-6</v>
      </c>
      <c r="U61" s="8">
        <v>0.10896684299999999</v>
      </c>
      <c r="V61" s="8">
        <f t="shared" si="4"/>
        <v>2.8699152934643301E-6</v>
      </c>
      <c r="W61" s="8">
        <v>0.110280985</v>
      </c>
      <c r="X61" s="8">
        <f t="shared" si="5"/>
        <v>7.5586422116133557E-11</v>
      </c>
      <c r="Y61" s="8">
        <v>2.6429495000000001E-2</v>
      </c>
      <c r="Z61" s="8">
        <f t="shared" si="6"/>
        <v>6.9608708310507861E-7</v>
      </c>
      <c r="AA61" s="8">
        <v>3.4643132E-2</v>
      </c>
      <c r="AB61" s="8">
        <f t="shared" si="7"/>
        <v>9.1241382794125299E-7</v>
      </c>
      <c r="AC61" s="8">
        <v>4.2895261610000004</v>
      </c>
      <c r="AD61" s="18">
        <f t="shared" si="8"/>
        <v>1.1297543722698508E-4</v>
      </c>
      <c r="AE61" s="9">
        <v>98.6</v>
      </c>
      <c r="AF61" s="10">
        <v>99</v>
      </c>
      <c r="AG61" s="10">
        <v>99.1</v>
      </c>
      <c r="AH61" s="10">
        <v>98.1</v>
      </c>
      <c r="AI61" s="10">
        <v>100</v>
      </c>
      <c r="AJ61" s="10">
        <v>96.7</v>
      </c>
      <c r="AK61" s="11">
        <v>37968.661740000003</v>
      </c>
      <c r="AL61" s="11">
        <v>7.5567620900000003</v>
      </c>
      <c r="AM61" s="11">
        <v>15244.046920000001</v>
      </c>
      <c r="AN61" s="11">
        <v>32.5</v>
      </c>
      <c r="AO61" s="11">
        <v>83.429000000000002</v>
      </c>
      <c r="AP61" s="19">
        <v>-3.4820452</v>
      </c>
    </row>
    <row r="62" spans="2:42">
      <c r="B62" t="s">
        <v>80</v>
      </c>
      <c r="C62" t="s">
        <v>81</v>
      </c>
      <c r="D62" t="s">
        <v>82</v>
      </c>
      <c r="E62" t="s">
        <v>35</v>
      </c>
      <c r="F62" t="s">
        <v>36</v>
      </c>
      <c r="G62" t="s">
        <v>37</v>
      </c>
      <c r="H62" t="s">
        <v>38</v>
      </c>
      <c r="I62" t="s">
        <v>39</v>
      </c>
      <c r="J62" t="s">
        <v>40</v>
      </c>
      <c r="K62">
        <v>2009</v>
      </c>
      <c r="L62">
        <v>0.99188090199347001</v>
      </c>
      <c r="M62" s="7">
        <v>0.16418466300000001</v>
      </c>
      <c r="N62" s="7">
        <f t="shared" si="0"/>
        <v>4.7360559887848881E-6</v>
      </c>
      <c r="O62" s="8">
        <v>49.219376050000001</v>
      </c>
      <c r="P62" s="8">
        <f t="shared" si="1"/>
        <v>1.4197776847515776E-3</v>
      </c>
      <c r="Q62" s="8">
        <v>2.698743565</v>
      </c>
      <c r="R62" s="8">
        <f t="shared" si="2"/>
        <v>7.7847713602901693E-5</v>
      </c>
      <c r="S62" s="8">
        <v>3.310374371</v>
      </c>
      <c r="T62" s="8">
        <f t="shared" si="3"/>
        <v>9.5490760698485928E-5</v>
      </c>
      <c r="U62" s="8">
        <v>9.3614500000000003E-2</v>
      </c>
      <c r="V62" s="8">
        <f t="shared" si="4"/>
        <v>2.700395428299554E-6</v>
      </c>
      <c r="W62" s="8">
        <v>0.14501434599999999</v>
      </c>
      <c r="X62" s="8">
        <f t="shared" si="5"/>
        <v>7.7895363102736558E-11</v>
      </c>
      <c r="Y62" s="8">
        <v>5.7132728000000001E-2</v>
      </c>
      <c r="Z62" s="8">
        <f t="shared" si="6"/>
        <v>1.6480455217672681E-6</v>
      </c>
      <c r="AA62" s="8">
        <v>0.22534762699999999</v>
      </c>
      <c r="AB62" s="8">
        <f t="shared" si="7"/>
        <v>6.5003573349102234E-6</v>
      </c>
      <c r="AC62" s="8">
        <v>22.702185329999999</v>
      </c>
      <c r="AD62" s="18">
        <f t="shared" si="8"/>
        <v>6.5486519158400888E-4</v>
      </c>
      <c r="AE62" s="9">
        <v>90.4</v>
      </c>
      <c r="AF62" s="10">
        <v>89</v>
      </c>
      <c r="AG62" s="10">
        <v>63.5</v>
      </c>
      <c r="AH62" s="10">
        <v>85.6</v>
      </c>
      <c r="AI62" s="10">
        <v>90</v>
      </c>
      <c r="AJ62" s="10">
        <v>90.5</v>
      </c>
      <c r="AK62" s="11">
        <v>34666.959889999998</v>
      </c>
      <c r="AL62" s="11">
        <v>52.998865899999998</v>
      </c>
      <c r="AM62" s="11">
        <v>7342.5926289999998</v>
      </c>
      <c r="AN62" s="11">
        <v>11.2</v>
      </c>
      <c r="AO62" s="11">
        <v>78.117000000000004</v>
      </c>
      <c r="AP62" s="19">
        <v>0.68231149000000002</v>
      </c>
    </row>
    <row r="63" spans="2:42">
      <c r="B63" t="s">
        <v>83</v>
      </c>
      <c r="C63" t="s">
        <v>84</v>
      </c>
      <c r="D63" t="s">
        <v>85</v>
      </c>
      <c r="E63" t="s">
        <v>35</v>
      </c>
      <c r="F63" t="s">
        <v>36</v>
      </c>
      <c r="G63" t="s">
        <v>37</v>
      </c>
      <c r="H63" t="s">
        <v>38</v>
      </c>
      <c r="I63" t="s">
        <v>39</v>
      </c>
      <c r="J63" t="s">
        <v>40</v>
      </c>
      <c r="K63">
        <v>2009</v>
      </c>
      <c r="L63">
        <v>0.62138699802822095</v>
      </c>
      <c r="M63" s="7">
        <v>20.42642438</v>
      </c>
      <c r="N63" s="7">
        <f t="shared" si="0"/>
        <v>2.8692252676576495E-3</v>
      </c>
      <c r="O63" s="8">
        <v>2.3147516960000001</v>
      </c>
      <c r="P63" s="8">
        <f t="shared" si="1"/>
        <v>3.2514472092430883E-4</v>
      </c>
      <c r="Q63" s="8">
        <v>0.14646261499999999</v>
      </c>
      <c r="R63" s="8">
        <f t="shared" si="2"/>
        <v>2.0573068879185512E-5</v>
      </c>
      <c r="S63" s="8">
        <v>0.11513904699999999</v>
      </c>
      <c r="T63" s="8">
        <f t="shared" si="3"/>
        <v>1.6173161626363002E-5</v>
      </c>
      <c r="U63" s="8">
        <v>6.6285699999999999E-4</v>
      </c>
      <c r="V63" s="8">
        <f t="shared" si="4"/>
        <v>9.3109103084430596E-8</v>
      </c>
      <c r="W63" s="8">
        <v>7.0290200000000004E-4</v>
      </c>
      <c r="X63" s="8">
        <f t="shared" si="5"/>
        <v>1.3078695823061571E-11</v>
      </c>
      <c r="Y63" s="8">
        <v>3.50658E-3</v>
      </c>
      <c r="Z63" s="8">
        <f t="shared" si="6"/>
        <v>4.9255649211489451E-7</v>
      </c>
      <c r="AA63" s="8">
        <v>1.4033672000000001E-2</v>
      </c>
      <c r="AB63" s="8">
        <f t="shared" si="7"/>
        <v>1.9712586770617E-6</v>
      </c>
      <c r="AC63" s="8">
        <v>1.4379483399999999</v>
      </c>
      <c r="AD63" s="18">
        <f t="shared" si="8"/>
        <v>2.0198335420633086E-4</v>
      </c>
      <c r="AE63" s="9">
        <v>54.5</v>
      </c>
      <c r="AF63" s="10">
        <v>63.2</v>
      </c>
      <c r="AG63" s="10">
        <v>17.5</v>
      </c>
      <c r="AH63" s="10">
        <v>67.5</v>
      </c>
      <c r="AI63" s="10">
        <v>49.3</v>
      </c>
      <c r="AJ63" s="10">
        <v>41.2</v>
      </c>
      <c r="AK63" s="11">
        <v>7119.1427910000002</v>
      </c>
      <c r="AL63" s="11">
        <v>35.947618400000003</v>
      </c>
      <c r="AM63" s="11">
        <v>1833.0445609999999</v>
      </c>
      <c r="AN63" s="11">
        <v>36.700000000000003</v>
      </c>
      <c r="AO63" s="11">
        <v>55.15</v>
      </c>
      <c r="AP63" s="19">
        <v>6.1373250800000001</v>
      </c>
    </row>
    <row r="64" spans="2:42">
      <c r="B64" t="s">
        <v>86</v>
      </c>
      <c r="C64" t="s">
        <v>87</v>
      </c>
      <c r="D64" t="s">
        <v>88</v>
      </c>
      <c r="E64" t="s">
        <v>35</v>
      </c>
      <c r="F64" t="s">
        <v>36</v>
      </c>
      <c r="G64" t="s">
        <v>37</v>
      </c>
      <c r="H64" t="s">
        <v>38</v>
      </c>
      <c r="I64" t="s">
        <v>39</v>
      </c>
      <c r="J64" t="s">
        <v>40</v>
      </c>
      <c r="K64">
        <v>2009</v>
      </c>
      <c r="L64">
        <v>0.58362942761465897</v>
      </c>
      <c r="M64" s="7">
        <v>12.613105020000001</v>
      </c>
      <c r="N64" s="7">
        <f t="shared" si="0"/>
        <v>3.3586186115870653E-4</v>
      </c>
      <c r="O64" s="8">
        <v>39.195036590000001</v>
      </c>
      <c r="P64" s="8">
        <f t="shared" si="1"/>
        <v>1.0436857471992256E-3</v>
      </c>
      <c r="Q64" s="8">
        <v>3.0250165579999999</v>
      </c>
      <c r="R64" s="8">
        <f t="shared" si="2"/>
        <v>8.0550165054106904E-5</v>
      </c>
      <c r="S64" s="8">
        <v>13.42608892</v>
      </c>
      <c r="T64" s="8">
        <f t="shared" si="3"/>
        <v>3.5751000293768174E-4</v>
      </c>
      <c r="U64" s="8">
        <v>0.178569386</v>
      </c>
      <c r="V64" s="8">
        <f t="shared" si="4"/>
        <v>4.7549470358669438E-6</v>
      </c>
      <c r="W64" s="8">
        <v>0.39639355300000001</v>
      </c>
      <c r="X64" s="8">
        <f t="shared" si="5"/>
        <v>1.2661476762819713E-10</v>
      </c>
      <c r="Y64" s="8">
        <v>0.241239167</v>
      </c>
      <c r="Z64" s="8">
        <f t="shared" si="6"/>
        <v>6.4237184646065858E-6</v>
      </c>
      <c r="AA64" s="8">
        <v>0.35848788399999998</v>
      </c>
      <c r="AB64" s="8">
        <f t="shared" si="7"/>
        <v>9.5458182368393925E-6</v>
      </c>
      <c r="AC64" s="8">
        <v>20.322569999999999</v>
      </c>
      <c r="AD64" s="18">
        <f t="shared" si="8"/>
        <v>5.4114955618819499E-4</v>
      </c>
      <c r="AE64" s="9">
        <v>93.3</v>
      </c>
      <c r="AF64" s="10">
        <v>92.8</v>
      </c>
      <c r="AG64" s="10">
        <v>77.7</v>
      </c>
      <c r="AH64" s="10">
        <v>93.8</v>
      </c>
      <c r="AI64" s="10">
        <v>92.9</v>
      </c>
      <c r="AJ64" s="10">
        <v>92.9</v>
      </c>
      <c r="AK64" s="11">
        <v>37554.4427</v>
      </c>
      <c r="AL64" s="11">
        <v>48.438082700000002</v>
      </c>
      <c r="AM64" s="11">
        <v>6827.5610360000001</v>
      </c>
      <c r="AN64" s="11">
        <v>10.7</v>
      </c>
      <c r="AO64" s="11">
        <v>76.771000000000001</v>
      </c>
      <c r="AP64" s="19">
        <v>1.6294586900000001</v>
      </c>
    </row>
    <row r="65" spans="2:42">
      <c r="B65" t="s">
        <v>89</v>
      </c>
      <c r="C65" t="s">
        <v>90</v>
      </c>
      <c r="D65" t="s">
        <v>91</v>
      </c>
      <c r="E65" t="s">
        <v>35</v>
      </c>
      <c r="F65" t="s">
        <v>36</v>
      </c>
      <c r="G65" t="s">
        <v>37</v>
      </c>
      <c r="H65" t="s">
        <v>38</v>
      </c>
      <c r="I65" t="s">
        <v>39</v>
      </c>
      <c r="J65" t="s">
        <v>40</v>
      </c>
      <c r="K65">
        <v>2009</v>
      </c>
      <c r="L65">
        <v>0.88608669808517004</v>
      </c>
      <c r="M65" s="7">
        <v>0.49144913499999998</v>
      </c>
      <c r="N65" s="7">
        <f t="shared" si="0"/>
        <v>1.6410198794252734E-5</v>
      </c>
      <c r="O65" s="8">
        <v>4.8333924540000002</v>
      </c>
      <c r="P65" s="8">
        <f t="shared" si="1"/>
        <v>1.6139397828176272E-4</v>
      </c>
      <c r="Q65" s="8">
        <v>0.21929616800000001</v>
      </c>
      <c r="R65" s="8">
        <f t="shared" si="2"/>
        <v>7.3226168394778958E-6</v>
      </c>
      <c r="S65" s="8">
        <v>3.3083147290000001</v>
      </c>
      <c r="T65" s="8">
        <f t="shared" si="3"/>
        <v>1.1046942299907471E-4</v>
      </c>
      <c r="U65" s="8">
        <v>1.5609601000000001E-2</v>
      </c>
      <c r="V65" s="8">
        <f t="shared" si="4"/>
        <v>5.2122719782377137E-7</v>
      </c>
      <c r="W65" s="8">
        <v>2.1559040000000002E-2</v>
      </c>
      <c r="X65" s="8">
        <f t="shared" si="5"/>
        <v>1.7404531464399434E-11</v>
      </c>
      <c r="Y65" s="8">
        <v>1.476644E-3</v>
      </c>
      <c r="Z65" s="8">
        <f t="shared" si="6"/>
        <v>4.9307283017886557E-8</v>
      </c>
      <c r="AA65" s="8">
        <v>9.8280745000000003E-2</v>
      </c>
      <c r="AB65" s="8">
        <f t="shared" si="7"/>
        <v>3.2817364977094947E-6</v>
      </c>
      <c r="AC65" s="8">
        <v>5.5481594559999996</v>
      </c>
      <c r="AD65" s="18">
        <f t="shared" si="8"/>
        <v>1.8526108427309188E-4</v>
      </c>
      <c r="AE65" s="9">
        <v>59.8</v>
      </c>
      <c r="AF65" s="10">
        <v>70.3</v>
      </c>
      <c r="AG65" s="10">
        <v>37.9</v>
      </c>
      <c r="AH65" s="10">
        <v>74.599999999999994</v>
      </c>
      <c r="AI65" s="10">
        <v>68.2</v>
      </c>
      <c r="AJ65" s="10">
        <v>73.900000000000006</v>
      </c>
      <c r="AK65" s="11">
        <v>29947.786810000001</v>
      </c>
      <c r="AL65" s="11">
        <v>58.650116400000002</v>
      </c>
      <c r="AM65" s="11">
        <v>5625.632877</v>
      </c>
      <c r="AN65" s="11">
        <v>9.1999999999999993</v>
      </c>
      <c r="AO65" s="11">
        <v>75.932000000000002</v>
      </c>
      <c r="AP65" s="19">
        <v>0.84640481000000001</v>
      </c>
    </row>
    <row r="66" spans="2:42">
      <c r="B66" t="s">
        <v>92</v>
      </c>
      <c r="C66" t="s">
        <v>93</v>
      </c>
      <c r="D66" t="s">
        <v>94</v>
      </c>
      <c r="E66" t="s">
        <v>35</v>
      </c>
      <c r="F66" t="s">
        <v>36</v>
      </c>
      <c r="G66" t="s">
        <v>37</v>
      </c>
      <c r="H66" t="s">
        <v>38</v>
      </c>
      <c r="I66" t="s">
        <v>39</v>
      </c>
      <c r="J66" t="s">
        <v>40</v>
      </c>
      <c r="K66">
        <v>2009</v>
      </c>
      <c r="L66">
        <v>0.59445321129156503</v>
      </c>
      <c r="M66" s="7">
        <v>20.42642438</v>
      </c>
      <c r="N66" s="7">
        <f t="shared" si="0"/>
        <v>9.8770600661750351E-4</v>
      </c>
      <c r="O66" s="8">
        <v>3.3011348210000002</v>
      </c>
      <c r="P66" s="8">
        <f t="shared" si="1"/>
        <v>1.5962415304307396E-4</v>
      </c>
      <c r="Q66" s="8">
        <v>0.57741979099999996</v>
      </c>
      <c r="R66" s="8">
        <f t="shared" si="2"/>
        <v>2.7920745466785578E-5</v>
      </c>
      <c r="S66" s="8">
        <v>2.2395971459999999</v>
      </c>
      <c r="T66" s="8">
        <f t="shared" si="3"/>
        <v>1.0829421304266556E-4</v>
      </c>
      <c r="U66" s="8">
        <v>7.1990939999999996E-3</v>
      </c>
      <c r="V66" s="8">
        <f t="shared" si="4"/>
        <v>3.481073463335157E-7</v>
      </c>
      <c r="W66" s="8">
        <v>3.5253398999999998E-2</v>
      </c>
      <c r="X66" s="8">
        <f t="shared" si="5"/>
        <v>1.6832496501832349E-11</v>
      </c>
      <c r="Y66" s="8">
        <v>5.4543329999999996E-3</v>
      </c>
      <c r="Z66" s="8">
        <f t="shared" si="6"/>
        <v>2.6374060217151265E-7</v>
      </c>
      <c r="AA66" s="8">
        <v>3.2180108999999998E-2</v>
      </c>
      <c r="AB66" s="8">
        <f t="shared" si="7"/>
        <v>1.5560475177450505E-6</v>
      </c>
      <c r="AC66" s="8">
        <v>4.185810504</v>
      </c>
      <c r="AD66" s="18">
        <f t="shared" si="8"/>
        <v>2.0240205042501127E-4</v>
      </c>
      <c r="AE66" s="9">
        <v>69.400000000000006</v>
      </c>
      <c r="AF66" s="10">
        <v>72.2</v>
      </c>
      <c r="AG66" s="10">
        <v>64</v>
      </c>
      <c r="AH66" s="10">
        <v>81.3</v>
      </c>
      <c r="AI66" s="10">
        <v>71.599999999999994</v>
      </c>
      <c r="AJ66" s="10">
        <v>74.900000000000006</v>
      </c>
      <c r="AK66" s="11">
        <v>20680.672429999999</v>
      </c>
      <c r="AL66" s="11">
        <v>63.879376999999998</v>
      </c>
      <c r="AM66" s="11">
        <v>3773.1538070000001</v>
      </c>
      <c r="AN66" s="11">
        <v>12.3</v>
      </c>
      <c r="AO66" s="11">
        <v>68.459999999999994</v>
      </c>
      <c r="AP66" s="19">
        <v>-2.2828050000000002</v>
      </c>
    </row>
    <row r="67" spans="2:42">
      <c r="B67" t="s">
        <v>95</v>
      </c>
      <c r="C67" t="s">
        <v>96</v>
      </c>
      <c r="D67" t="s">
        <v>97</v>
      </c>
      <c r="E67" t="s">
        <v>35</v>
      </c>
      <c r="F67" t="s">
        <v>36</v>
      </c>
      <c r="G67" t="s">
        <v>37</v>
      </c>
      <c r="H67" t="s">
        <v>38</v>
      </c>
      <c r="I67" t="s">
        <v>39</v>
      </c>
      <c r="J67" t="s">
        <v>40</v>
      </c>
      <c r="K67">
        <v>2009</v>
      </c>
      <c r="L67">
        <v>0.62465928200925902</v>
      </c>
      <c r="M67" s="7">
        <v>67.240271460000002</v>
      </c>
      <c r="N67" s="7">
        <f t="shared" ref="N67:N130" si="9">M67/AK67</f>
        <v>1.6061996469536311E-3</v>
      </c>
      <c r="O67" s="8">
        <v>0.31226420799999999</v>
      </c>
      <c r="P67" s="8">
        <f t="shared" ref="P67:P130" si="10">O67/AK67</f>
        <v>7.4592004130177142E-6</v>
      </c>
      <c r="Q67" s="8">
        <v>1.7292519999999999E-3</v>
      </c>
      <c r="R67" s="8">
        <f t="shared" ref="R67:R130" si="11">Q67/AK67</f>
        <v>4.130744703412089E-8</v>
      </c>
      <c r="S67" s="8"/>
      <c r="T67" s="8">
        <f t="shared" ref="T67:T130" si="12">S67/AK67</f>
        <v>0</v>
      </c>
      <c r="U67" s="8">
        <v>1.222966E-3</v>
      </c>
      <c r="V67" s="8">
        <f t="shared" ref="V67:V130" si="13">U67/AK67</f>
        <v>2.9213557809694994E-8</v>
      </c>
      <c r="W67" s="14">
        <v>2.9983200000000001E-5</v>
      </c>
      <c r="X67" s="8">
        <f t="shared" ref="X67:X130" si="14">V67/AK67</f>
        <v>6.9783784659621888E-13</v>
      </c>
      <c r="Y67" s="8">
        <v>3.4800920000000002E-3</v>
      </c>
      <c r="Z67" s="8">
        <f t="shared" ref="Z67:Z130" si="15">Y67/AK67</f>
        <v>8.3130576667754522E-8</v>
      </c>
      <c r="AA67" s="8">
        <v>2.447589E-3</v>
      </c>
      <c r="AB67" s="8">
        <f t="shared" ref="AB67:AB130" si="16">AA67/AK67</f>
        <v>5.846669714928588E-8</v>
      </c>
      <c r="AC67" s="8">
        <v>0.27571127099999998</v>
      </c>
      <c r="AD67" s="18">
        <f t="shared" ref="AD67:AD130" si="17">AC67/AK67</f>
        <v>6.5860434011599523E-6</v>
      </c>
      <c r="AE67" s="9">
        <v>95.7</v>
      </c>
      <c r="AF67" s="10">
        <v>93.3</v>
      </c>
      <c r="AG67" s="10">
        <v>91.5</v>
      </c>
      <c r="AH67" s="10">
        <v>79.900000000000006</v>
      </c>
      <c r="AI67" s="10">
        <v>93.4</v>
      </c>
      <c r="AJ67" s="10">
        <v>95.7</v>
      </c>
      <c r="AK67" s="11">
        <v>41862.959929999997</v>
      </c>
      <c r="AL67" s="11">
        <v>18.703241899999998</v>
      </c>
      <c r="AM67" s="11">
        <v>51259.18763</v>
      </c>
      <c r="AN67" s="11">
        <v>74.7</v>
      </c>
      <c r="AO67" s="11">
        <v>93.510999999999996</v>
      </c>
      <c r="AP67" s="19">
        <v>0.48339774000000002</v>
      </c>
    </row>
    <row r="68" spans="2:42">
      <c r="B68" t="s">
        <v>98</v>
      </c>
      <c r="C68" t="s">
        <v>99</v>
      </c>
      <c r="D68" t="s">
        <v>100</v>
      </c>
      <c r="E68" t="s">
        <v>35</v>
      </c>
      <c r="F68" t="s">
        <v>36</v>
      </c>
      <c r="G68" t="s">
        <v>37</v>
      </c>
      <c r="H68" t="s">
        <v>38</v>
      </c>
      <c r="I68" t="s">
        <v>39</v>
      </c>
      <c r="J68" t="s">
        <v>40</v>
      </c>
      <c r="K68">
        <v>2009</v>
      </c>
      <c r="L68">
        <v>0.38128714312449302</v>
      </c>
      <c r="M68" s="7">
        <v>2628.2715739999999</v>
      </c>
      <c r="N68" s="7">
        <f t="shared" si="9"/>
        <v>0.33403940963881051</v>
      </c>
      <c r="O68" s="8">
        <v>114.24201119999999</v>
      </c>
      <c r="P68" s="8">
        <f t="shared" si="10"/>
        <v>1.451955511550131E-2</v>
      </c>
      <c r="Q68" s="8">
        <v>14.551931039999999</v>
      </c>
      <c r="R68" s="8">
        <f t="shared" si="11"/>
        <v>1.8494734340973708E-3</v>
      </c>
      <c r="S68" s="8">
        <v>93.085697620000005</v>
      </c>
      <c r="T68" s="8">
        <f t="shared" si="12"/>
        <v>1.1830699607452984E-2</v>
      </c>
      <c r="U68" s="8">
        <v>0.406785917</v>
      </c>
      <c r="V68" s="8">
        <f t="shared" si="13"/>
        <v>5.1700337555780368E-5</v>
      </c>
      <c r="W68" s="8">
        <v>7.9338923000000006E-2</v>
      </c>
      <c r="X68" s="8">
        <f t="shared" si="14"/>
        <v>6.5708393326252597E-9</v>
      </c>
      <c r="Y68" s="8">
        <v>5.9391689999999997E-2</v>
      </c>
      <c r="Z68" s="8">
        <f t="shared" si="15"/>
        <v>7.5483695297353799E-6</v>
      </c>
      <c r="AA68" s="8">
        <v>0.68319791399999996</v>
      </c>
      <c r="AB68" s="8">
        <f t="shared" si="16"/>
        <v>8.6830839749068805E-5</v>
      </c>
      <c r="AC68" s="8">
        <v>35.290719359999997</v>
      </c>
      <c r="AD68" s="18">
        <f t="shared" si="17"/>
        <v>4.4852636909215159E-3</v>
      </c>
      <c r="AE68" s="9">
        <v>20.6</v>
      </c>
      <c r="AF68" s="10">
        <v>45.5</v>
      </c>
      <c r="AG68" s="10">
        <v>21.3</v>
      </c>
      <c r="AH68" s="10">
        <v>42.1</v>
      </c>
      <c r="AI68" s="10">
        <v>32.700000000000003</v>
      </c>
      <c r="AJ68" s="10">
        <v>47.9</v>
      </c>
      <c r="AK68" s="11">
        <v>7868.1481830000002</v>
      </c>
      <c r="AL68" s="11">
        <v>26.5994645</v>
      </c>
      <c r="AM68" s="11">
        <v>582.7110586</v>
      </c>
      <c r="AN68" s="11">
        <v>38.200000000000003</v>
      </c>
      <c r="AO68" s="11">
        <v>49.134</v>
      </c>
      <c r="AP68" s="19">
        <v>0.90391942000000003</v>
      </c>
    </row>
    <row r="69" spans="2:42">
      <c r="B69" t="s">
        <v>101</v>
      </c>
      <c r="C69" t="s">
        <v>102</v>
      </c>
      <c r="D69" t="s">
        <v>103</v>
      </c>
      <c r="E69" t="s">
        <v>35</v>
      </c>
      <c r="F69" t="s">
        <v>36</v>
      </c>
      <c r="G69" t="s">
        <v>37</v>
      </c>
      <c r="H69" t="s">
        <v>38</v>
      </c>
      <c r="I69" t="s">
        <v>39</v>
      </c>
      <c r="J69" t="s">
        <v>40</v>
      </c>
      <c r="K69">
        <v>2009</v>
      </c>
      <c r="L69">
        <v>1.05328311280741</v>
      </c>
      <c r="M69" s="7">
        <v>67.656541880000006</v>
      </c>
      <c r="N69" s="7">
        <f t="shared" si="9"/>
        <v>1.6314638615937298E-3</v>
      </c>
      <c r="O69" s="8">
        <v>15.58306191</v>
      </c>
      <c r="P69" s="8">
        <f t="shared" si="10"/>
        <v>3.7576857540598199E-4</v>
      </c>
      <c r="Q69" s="8">
        <v>0.23199260499999999</v>
      </c>
      <c r="R69" s="8">
        <f t="shared" si="11"/>
        <v>5.5942491398067415E-6</v>
      </c>
      <c r="S69" s="8">
        <v>1.1119365299999999</v>
      </c>
      <c r="T69" s="8">
        <f t="shared" si="12"/>
        <v>2.6813139050152881E-5</v>
      </c>
      <c r="U69" s="8">
        <v>8.9963339999999999E-3</v>
      </c>
      <c r="V69" s="8">
        <f t="shared" si="13"/>
        <v>2.1693680167483848E-7</v>
      </c>
      <c r="W69" s="8">
        <v>1.3944313E-2</v>
      </c>
      <c r="X69" s="8">
        <f t="shared" si="14"/>
        <v>5.2311948312399476E-12</v>
      </c>
      <c r="Y69" s="8"/>
      <c r="Z69" s="8">
        <f t="shared" si="15"/>
        <v>0</v>
      </c>
      <c r="AA69" s="8">
        <v>2.5128536999999999E-2</v>
      </c>
      <c r="AB69" s="8">
        <f t="shared" si="16"/>
        <v>6.0594731671232316E-7</v>
      </c>
      <c r="AC69" s="8">
        <v>0.90359665300000003</v>
      </c>
      <c r="AD69" s="18">
        <f t="shared" si="17"/>
        <v>2.178924969947857E-5</v>
      </c>
      <c r="AE69" s="9">
        <v>93.8</v>
      </c>
      <c r="AF69" s="10">
        <v>87.1</v>
      </c>
      <c r="AG69" s="10">
        <v>86.3</v>
      </c>
      <c r="AH69" s="10">
        <v>96.2</v>
      </c>
      <c r="AI69" s="10">
        <v>95.3</v>
      </c>
      <c r="AJ69" s="10">
        <v>93.8</v>
      </c>
      <c r="AK69" s="11">
        <v>41469.837899999999</v>
      </c>
      <c r="AL69" s="11">
        <v>66.684859900000006</v>
      </c>
      <c r="AM69" s="11">
        <v>5948.5709559999996</v>
      </c>
      <c r="AN69" s="11">
        <v>5.3</v>
      </c>
      <c r="AO69" s="11">
        <v>61.341999999999999</v>
      </c>
      <c r="AP69" s="19">
        <v>22.827608699999999</v>
      </c>
    </row>
    <row r="70" spans="2:42">
      <c r="B70" t="s">
        <v>104</v>
      </c>
      <c r="C70" t="s">
        <v>105</v>
      </c>
      <c r="D70" t="s">
        <v>106</v>
      </c>
      <c r="E70" t="s">
        <v>35</v>
      </c>
      <c r="F70" t="s">
        <v>36</v>
      </c>
      <c r="G70" t="s">
        <v>37</v>
      </c>
      <c r="H70" t="s">
        <v>38</v>
      </c>
      <c r="I70" t="s">
        <v>39</v>
      </c>
      <c r="J70" t="s">
        <v>40</v>
      </c>
      <c r="K70">
        <v>2009</v>
      </c>
      <c r="L70">
        <v>0.56388819915721</v>
      </c>
      <c r="M70" s="7">
        <v>5.0373978179999996</v>
      </c>
      <c r="N70" s="7">
        <f t="shared" si="9"/>
        <v>1.7928473597903833E-4</v>
      </c>
      <c r="O70" s="8">
        <v>1.454646176</v>
      </c>
      <c r="P70" s="8">
        <f t="shared" si="10"/>
        <v>5.1771939606433867E-5</v>
      </c>
      <c r="Q70" s="8">
        <v>2.0484901999999999E-2</v>
      </c>
      <c r="R70" s="8">
        <f t="shared" si="11"/>
        <v>7.2907290218437027E-7</v>
      </c>
      <c r="S70" s="8">
        <v>0.170318265</v>
      </c>
      <c r="T70" s="8">
        <f t="shared" si="12"/>
        <v>6.0617537617976717E-6</v>
      </c>
      <c r="U70" s="8">
        <v>2.0243499999999998E-3</v>
      </c>
      <c r="V70" s="8">
        <f t="shared" si="13"/>
        <v>7.2048122541027039E-8</v>
      </c>
      <c r="W70" s="8">
        <v>2.0466226000000001E-2</v>
      </c>
      <c r="X70" s="8">
        <f t="shared" si="14"/>
        <v>2.5642462823557432E-12</v>
      </c>
      <c r="Y70" s="8">
        <v>1.6262399999999999E-3</v>
      </c>
      <c r="Z70" s="8">
        <f t="shared" si="15"/>
        <v>5.7879091462009936E-8</v>
      </c>
      <c r="AA70" s="8">
        <v>5.0194177999999999E-2</v>
      </c>
      <c r="AB70" s="8">
        <f t="shared" si="16"/>
        <v>1.786448137619544E-6</v>
      </c>
      <c r="AC70" s="8">
        <v>5.0727233270000003</v>
      </c>
      <c r="AD70" s="18">
        <f t="shared" si="17"/>
        <v>1.8054199712521176E-4</v>
      </c>
      <c r="AE70" s="9">
        <v>74.2</v>
      </c>
      <c r="AF70" s="10">
        <v>85.6</v>
      </c>
      <c r="AG70" s="10">
        <v>7.1</v>
      </c>
      <c r="AH70" s="10">
        <v>82.8</v>
      </c>
      <c r="AI70" s="10">
        <v>73.900000000000006</v>
      </c>
      <c r="AJ70" s="10">
        <v>65.400000000000006</v>
      </c>
      <c r="AK70" s="11">
        <v>28097.192940000001</v>
      </c>
      <c r="AL70" s="11">
        <v>24.149722700000002</v>
      </c>
      <c r="AM70" s="11">
        <v>6607.8871429999999</v>
      </c>
      <c r="AN70" s="11">
        <v>8.5</v>
      </c>
      <c r="AO70" s="11">
        <v>91.763000000000005</v>
      </c>
      <c r="AP70" s="19">
        <v>2.1587775599999999</v>
      </c>
    </row>
    <row r="71" spans="2:42">
      <c r="B71" t="s">
        <v>107</v>
      </c>
      <c r="C71" t="s">
        <v>108</v>
      </c>
      <c r="D71" t="s">
        <v>109</v>
      </c>
      <c r="E71" t="s">
        <v>35</v>
      </c>
      <c r="F71" t="s">
        <v>36</v>
      </c>
      <c r="G71" t="s">
        <v>37</v>
      </c>
      <c r="H71" t="s">
        <v>38</v>
      </c>
      <c r="I71" t="s">
        <v>39</v>
      </c>
      <c r="J71" t="s">
        <v>40</v>
      </c>
      <c r="K71">
        <v>2009</v>
      </c>
      <c r="L71">
        <v>0.83753049600064899</v>
      </c>
      <c r="M71" s="7">
        <v>77.306631659999994</v>
      </c>
      <c r="N71" s="7">
        <f t="shared" si="9"/>
        <v>2.2418290943000655E-3</v>
      </c>
      <c r="O71" s="8">
        <v>22.318598860000002</v>
      </c>
      <c r="P71" s="8">
        <f t="shared" si="10"/>
        <v>6.4722111407486307E-4</v>
      </c>
      <c r="Q71" s="8">
        <v>2.7778206939999999</v>
      </c>
      <c r="R71" s="8">
        <f t="shared" si="11"/>
        <v>8.0554528335247339E-5</v>
      </c>
      <c r="S71" s="8">
        <v>4.4067428910000004</v>
      </c>
      <c r="T71" s="8">
        <f t="shared" si="12"/>
        <v>1.2779193986349119E-4</v>
      </c>
      <c r="U71" s="8">
        <v>6.1759066000000001E-2</v>
      </c>
      <c r="V71" s="8">
        <f t="shared" si="13"/>
        <v>1.7909624054573376E-6</v>
      </c>
      <c r="W71" s="8">
        <v>0.207691868</v>
      </c>
      <c r="X71" s="8">
        <f t="shared" si="14"/>
        <v>5.1936445051833089E-11</v>
      </c>
      <c r="Y71" s="8">
        <v>3.6169325000000002E-2</v>
      </c>
      <c r="Z71" s="8">
        <f t="shared" si="15"/>
        <v>1.0488808445673098E-6</v>
      </c>
      <c r="AA71" s="8">
        <v>0.42101738700000002</v>
      </c>
      <c r="AB71" s="8">
        <f t="shared" si="16"/>
        <v>1.2209159901493376E-5</v>
      </c>
      <c r="AC71" s="8">
        <v>20.239357600000002</v>
      </c>
      <c r="AD71" s="18">
        <f t="shared" si="17"/>
        <v>5.8692481800497523E-4</v>
      </c>
      <c r="AE71" s="9">
        <v>64.099999999999994</v>
      </c>
      <c r="AF71" s="10">
        <v>67</v>
      </c>
      <c r="AG71" s="10">
        <v>54.5</v>
      </c>
      <c r="AH71" s="10">
        <v>78.5</v>
      </c>
      <c r="AI71" s="10">
        <v>62.6</v>
      </c>
      <c r="AJ71" s="10">
        <v>81.5</v>
      </c>
      <c r="AK71" s="11">
        <v>34483.731099999997</v>
      </c>
      <c r="AL71" s="11">
        <v>47.2828844</v>
      </c>
      <c r="AM71" s="11">
        <v>5326.9008750000003</v>
      </c>
      <c r="AN71" s="11">
        <v>12.5</v>
      </c>
      <c r="AO71" s="11">
        <v>68.209000000000003</v>
      </c>
      <c r="AP71" s="19">
        <v>0.75163223000000001</v>
      </c>
    </row>
    <row r="72" spans="2:42">
      <c r="B72" t="s">
        <v>110</v>
      </c>
      <c r="C72" t="s">
        <v>111</v>
      </c>
      <c r="D72" t="s">
        <v>112</v>
      </c>
      <c r="E72" t="s">
        <v>35</v>
      </c>
      <c r="F72" t="s">
        <v>36</v>
      </c>
      <c r="G72" t="s">
        <v>37</v>
      </c>
      <c r="H72" t="s">
        <v>38</v>
      </c>
      <c r="I72" t="s">
        <v>39</v>
      </c>
      <c r="J72" t="s">
        <v>40</v>
      </c>
      <c r="K72">
        <v>2009</v>
      </c>
      <c r="L72">
        <v>1.3742114170167401</v>
      </c>
      <c r="M72" s="7">
        <v>1.1692929519999999</v>
      </c>
      <c r="N72" s="7">
        <f t="shared" si="9"/>
        <v>3.4855071194912268E-5</v>
      </c>
      <c r="O72" s="8">
        <v>47.010282719999999</v>
      </c>
      <c r="P72" s="8">
        <f t="shared" si="10"/>
        <v>1.4013141431289103E-3</v>
      </c>
      <c r="Q72" s="8">
        <v>1.200496048</v>
      </c>
      <c r="R72" s="8">
        <f t="shared" si="11"/>
        <v>3.5785194078763948E-5</v>
      </c>
      <c r="S72" s="8">
        <v>4.4068516469999999</v>
      </c>
      <c r="T72" s="8">
        <f t="shared" si="12"/>
        <v>1.3136239950722067E-4</v>
      </c>
      <c r="U72" s="8">
        <v>0.34278325300000001</v>
      </c>
      <c r="V72" s="8">
        <f t="shared" si="13"/>
        <v>1.0217913883174271E-5</v>
      </c>
      <c r="W72" s="8">
        <v>0.39901932899999998</v>
      </c>
      <c r="X72" s="8">
        <f t="shared" si="14"/>
        <v>3.0458245322727448E-10</v>
      </c>
      <c r="Y72" s="8">
        <v>0.28324311099999999</v>
      </c>
      <c r="Z72" s="8">
        <f t="shared" si="15"/>
        <v>8.4431012625939779E-6</v>
      </c>
      <c r="AA72" s="8">
        <v>0.81142481499999997</v>
      </c>
      <c r="AB72" s="8">
        <f t="shared" si="16"/>
        <v>2.4187496938015854E-5</v>
      </c>
      <c r="AC72" s="8">
        <v>10.335474469999999</v>
      </c>
      <c r="AD72" s="18">
        <f t="shared" si="17"/>
        <v>3.0808677831237636E-4</v>
      </c>
      <c r="AE72" s="9">
        <v>89.5</v>
      </c>
      <c r="AF72" s="10">
        <v>88.5</v>
      </c>
      <c r="AG72" s="10">
        <v>84.4</v>
      </c>
      <c r="AH72" s="10">
        <v>82.3</v>
      </c>
      <c r="AI72" s="10">
        <v>88.2</v>
      </c>
      <c r="AJ72" s="10">
        <v>79.599999999999994</v>
      </c>
      <c r="AK72" s="11">
        <v>33547.28342</v>
      </c>
      <c r="AL72" s="11">
        <v>13.6477366</v>
      </c>
      <c r="AM72" s="11">
        <v>8138.7224999999999</v>
      </c>
      <c r="AN72" s="11">
        <v>4.5</v>
      </c>
      <c r="AO72" s="11">
        <v>89.989000000000004</v>
      </c>
      <c r="AP72" s="19">
        <v>0.23114636999999999</v>
      </c>
    </row>
    <row r="73" spans="2:42">
      <c r="B73" t="s">
        <v>113</v>
      </c>
      <c r="C73" t="s">
        <v>114</v>
      </c>
      <c r="D73" t="s">
        <v>115</v>
      </c>
      <c r="E73" t="s">
        <v>35</v>
      </c>
      <c r="F73" t="s">
        <v>36</v>
      </c>
      <c r="G73" t="s">
        <v>37</v>
      </c>
      <c r="H73" t="s">
        <v>38</v>
      </c>
      <c r="I73" t="s">
        <v>39</v>
      </c>
      <c r="J73" t="s">
        <v>40</v>
      </c>
      <c r="K73">
        <v>2009</v>
      </c>
      <c r="L73">
        <v>0.12768942664073801</v>
      </c>
      <c r="M73" s="7">
        <v>13.88467331</v>
      </c>
      <c r="N73" s="7">
        <f t="shared" si="9"/>
        <v>8.3847061865631857E-4</v>
      </c>
      <c r="O73" s="8">
        <v>1.134375742</v>
      </c>
      <c r="P73" s="8">
        <f t="shared" si="10"/>
        <v>6.8502924695997794E-5</v>
      </c>
      <c r="Q73" s="8">
        <v>0.324408219</v>
      </c>
      <c r="R73" s="8">
        <f t="shared" si="11"/>
        <v>1.9590432847002612E-5</v>
      </c>
      <c r="S73" s="8">
        <v>0.12175206600000001</v>
      </c>
      <c r="T73" s="8">
        <f t="shared" si="12"/>
        <v>7.3523897770198915E-6</v>
      </c>
      <c r="U73" s="8">
        <v>7.8596050000000004E-3</v>
      </c>
      <c r="V73" s="8">
        <f t="shared" si="13"/>
        <v>4.7462750614362816E-7</v>
      </c>
      <c r="W73" s="8">
        <v>7.8226319999999995E-3</v>
      </c>
      <c r="X73" s="8">
        <f t="shared" si="14"/>
        <v>2.866190725718656E-11</v>
      </c>
      <c r="Y73" s="8">
        <v>1.078E-3</v>
      </c>
      <c r="Z73" s="8">
        <f t="shared" si="15"/>
        <v>6.5098494341996974E-8</v>
      </c>
      <c r="AA73" s="8">
        <v>1.0484222E-2</v>
      </c>
      <c r="AB73" s="8">
        <f t="shared" si="16"/>
        <v>6.3312343835551034E-7</v>
      </c>
      <c r="AC73" s="8">
        <v>0.66709357899999999</v>
      </c>
      <c r="AD73" s="18">
        <f t="shared" si="17"/>
        <v>4.0284589590087211E-5</v>
      </c>
      <c r="AE73" s="9">
        <v>64.599999999999994</v>
      </c>
      <c r="AF73" s="10">
        <v>70.8</v>
      </c>
      <c r="AG73" s="10">
        <v>55</v>
      </c>
      <c r="AH73" s="10">
        <v>77.5</v>
      </c>
      <c r="AI73" s="10">
        <v>72.5</v>
      </c>
      <c r="AJ73" s="10">
        <v>72</v>
      </c>
      <c r="AK73" s="11">
        <v>16559.522779999999</v>
      </c>
      <c r="AL73" s="11">
        <v>29.4566667</v>
      </c>
      <c r="AM73" s="11">
        <v>3026.6114889999999</v>
      </c>
      <c r="AN73" s="11">
        <v>38.4</v>
      </c>
      <c r="AO73" s="11">
        <v>67.813999999999993</v>
      </c>
      <c r="AP73" s="19">
        <v>-0.58393620000000002</v>
      </c>
    </row>
    <row r="74" spans="2:42">
      <c r="B74" t="s">
        <v>116</v>
      </c>
      <c r="C74" t="s">
        <v>117</v>
      </c>
      <c r="D74" t="s">
        <v>118</v>
      </c>
      <c r="E74" t="s">
        <v>35</v>
      </c>
      <c r="F74" t="s">
        <v>36</v>
      </c>
      <c r="G74" t="s">
        <v>37</v>
      </c>
      <c r="H74" t="s">
        <v>38</v>
      </c>
      <c r="I74" t="s">
        <v>39</v>
      </c>
      <c r="J74" t="s">
        <v>40</v>
      </c>
      <c r="K74">
        <v>2009</v>
      </c>
      <c r="L74">
        <v>1.1856594205323301</v>
      </c>
      <c r="M74" s="7">
        <v>100.1770374</v>
      </c>
      <c r="N74" s="7">
        <f t="shared" si="9"/>
        <v>5.5140375403452966E-3</v>
      </c>
      <c r="O74" s="8">
        <v>2.463960749</v>
      </c>
      <c r="P74" s="8">
        <f t="shared" si="10"/>
        <v>1.3562361615540564E-4</v>
      </c>
      <c r="Q74" s="8">
        <v>0.23908521899999999</v>
      </c>
      <c r="R74" s="8">
        <f t="shared" si="11"/>
        <v>1.3159950694525894E-5</v>
      </c>
      <c r="S74" s="8">
        <v>0.228551429</v>
      </c>
      <c r="T74" s="8">
        <f t="shared" si="12"/>
        <v>1.2580140041210309E-5</v>
      </c>
      <c r="U74" s="8">
        <v>3.5996629999999999E-3</v>
      </c>
      <c r="V74" s="8">
        <f t="shared" si="13"/>
        <v>1.9813599433308827E-7</v>
      </c>
      <c r="W74" s="8">
        <v>1.0329199000000001E-2</v>
      </c>
      <c r="X74" s="8">
        <f t="shared" si="14"/>
        <v>1.0905985435403699E-11</v>
      </c>
      <c r="Y74" s="8">
        <v>3.6064000000000001E-3</v>
      </c>
      <c r="Z74" s="8">
        <f t="shared" si="15"/>
        <v>1.9850681854463863E-7</v>
      </c>
      <c r="AA74" s="8">
        <v>2.2727171000000001E-2</v>
      </c>
      <c r="AB74" s="8">
        <f t="shared" si="16"/>
        <v>1.2509700559366608E-6</v>
      </c>
      <c r="AC74" s="8">
        <v>1.4426556049999999</v>
      </c>
      <c r="AD74" s="18">
        <f t="shared" si="17"/>
        <v>7.9407989797066568E-5</v>
      </c>
      <c r="AE74" s="9">
        <v>65.099999999999994</v>
      </c>
      <c r="AF74" s="10">
        <v>73.2</v>
      </c>
      <c r="AG74" s="10">
        <v>69.2</v>
      </c>
      <c r="AH74" s="10">
        <v>78</v>
      </c>
      <c r="AI74" s="10">
        <v>69.7</v>
      </c>
      <c r="AJ74" s="10">
        <v>74.400000000000006</v>
      </c>
      <c r="AK74" s="11">
        <v>18167.637900000002</v>
      </c>
      <c r="AL74" s="11">
        <v>42.903869200000003</v>
      </c>
      <c r="AM74" s="11">
        <v>3622.290317</v>
      </c>
      <c r="AN74" s="11">
        <v>20.100000000000001</v>
      </c>
      <c r="AO74" s="11">
        <v>66.841999999999999</v>
      </c>
      <c r="AP74" s="19">
        <v>-0.96067119999999995</v>
      </c>
    </row>
    <row r="75" spans="2:42">
      <c r="B75" t="s">
        <v>119</v>
      </c>
      <c r="C75" t="s">
        <v>120</v>
      </c>
      <c r="D75" t="s">
        <v>121</v>
      </c>
      <c r="E75" t="s">
        <v>35</v>
      </c>
      <c r="F75" t="s">
        <v>36</v>
      </c>
      <c r="G75" t="s">
        <v>37</v>
      </c>
      <c r="H75" t="s">
        <v>38</v>
      </c>
      <c r="I75" t="s">
        <v>39</v>
      </c>
      <c r="J75" t="s">
        <v>40</v>
      </c>
      <c r="K75">
        <v>2009</v>
      </c>
      <c r="L75">
        <v>0.87621732773036098</v>
      </c>
      <c r="M75" s="7">
        <v>11.534436400000001</v>
      </c>
      <c r="N75" s="7">
        <f t="shared" si="9"/>
        <v>1.3277315596567997E-4</v>
      </c>
      <c r="O75" s="8">
        <v>0.47678166799999999</v>
      </c>
      <c r="P75" s="8">
        <f t="shared" si="10"/>
        <v>5.4882444682725059E-6</v>
      </c>
      <c r="Q75" s="8">
        <v>8.8239979999999996E-3</v>
      </c>
      <c r="R75" s="8">
        <f t="shared" si="11"/>
        <v>1.015732387838948E-7</v>
      </c>
      <c r="S75" s="8">
        <v>2.3087058000000001E-2</v>
      </c>
      <c r="T75" s="8">
        <f t="shared" si="12"/>
        <v>2.6575564217621413E-7</v>
      </c>
      <c r="U75" s="8">
        <v>2.3270449999999998E-3</v>
      </c>
      <c r="V75" s="8">
        <f t="shared" si="13"/>
        <v>2.6786667159927788E-8</v>
      </c>
      <c r="W75" s="8">
        <v>3.1521689999999998E-3</v>
      </c>
      <c r="X75" s="8">
        <f t="shared" si="14"/>
        <v>3.0834192614958191E-13</v>
      </c>
      <c r="Y75" s="8"/>
      <c r="Z75" s="8">
        <f t="shared" si="15"/>
        <v>0</v>
      </c>
      <c r="AA75" s="8">
        <v>8.0185250000000003E-3</v>
      </c>
      <c r="AB75" s="8">
        <f t="shared" si="16"/>
        <v>9.2301421024758858E-8</v>
      </c>
      <c r="AC75" s="8">
        <v>0.103375682</v>
      </c>
      <c r="AD75" s="18">
        <f t="shared" si="17"/>
        <v>1.1899597928551182E-6</v>
      </c>
      <c r="AE75" s="9">
        <v>94.7</v>
      </c>
      <c r="AF75" s="10">
        <v>96.2</v>
      </c>
      <c r="AG75" s="10">
        <v>98.6</v>
      </c>
      <c r="AH75" s="10">
        <v>95.2</v>
      </c>
      <c r="AI75" s="10">
        <v>97.6</v>
      </c>
      <c r="AJ75" s="10">
        <v>100</v>
      </c>
      <c r="AK75" s="11">
        <v>86873.256240000002</v>
      </c>
      <c r="AL75" s="11">
        <v>50.767927999999998</v>
      </c>
      <c r="AM75" s="11">
        <v>14423.955819999999</v>
      </c>
      <c r="AN75" s="11">
        <v>3.7</v>
      </c>
      <c r="AO75" s="11">
        <v>88.177999999999997</v>
      </c>
      <c r="AP75" s="19">
        <v>50.039490299999997</v>
      </c>
    </row>
    <row r="76" spans="2:42">
      <c r="B76" t="s">
        <v>122</v>
      </c>
      <c r="C76" t="s">
        <v>123</v>
      </c>
      <c r="D76" t="s">
        <v>124</v>
      </c>
      <c r="E76" t="s">
        <v>35</v>
      </c>
      <c r="F76" t="s">
        <v>36</v>
      </c>
      <c r="G76" t="s">
        <v>37</v>
      </c>
      <c r="H76" t="s">
        <v>38</v>
      </c>
      <c r="I76" t="s">
        <v>39</v>
      </c>
      <c r="J76" t="s">
        <v>40</v>
      </c>
      <c r="K76">
        <v>2009</v>
      </c>
      <c r="L76">
        <v>1.5639228045556599</v>
      </c>
      <c r="M76" s="7">
        <v>8.2621838000000003E-2</v>
      </c>
      <c r="N76" s="7">
        <f t="shared" si="9"/>
        <v>3.0865924882742198E-6</v>
      </c>
      <c r="O76" s="8">
        <v>5.9501218000000002E-2</v>
      </c>
      <c r="P76" s="8">
        <f t="shared" si="10"/>
        <v>2.2228507252763706E-6</v>
      </c>
      <c r="Q76" s="8">
        <v>3.3298600000000001E-4</v>
      </c>
      <c r="R76" s="8">
        <f t="shared" si="11"/>
        <v>1.2439714622428024E-8</v>
      </c>
      <c r="S76" s="8"/>
      <c r="T76" s="8">
        <f t="shared" si="12"/>
        <v>0</v>
      </c>
      <c r="U76" s="13">
        <v>2.3492000000000001E-5</v>
      </c>
      <c r="V76" s="8">
        <f t="shared" si="13"/>
        <v>8.7761580339737752E-10</v>
      </c>
      <c r="W76" s="8">
        <v>1.0599699999999999E-3</v>
      </c>
      <c r="X76" s="8">
        <f t="shared" si="14"/>
        <v>3.27860334740688E-14</v>
      </c>
      <c r="Y76" s="8"/>
      <c r="Z76" s="8">
        <f t="shared" si="15"/>
        <v>0</v>
      </c>
      <c r="AA76" s="8">
        <v>1.6089100000000001E-3</v>
      </c>
      <c r="AB76" s="8">
        <f t="shared" si="16"/>
        <v>6.0105773975995003E-8</v>
      </c>
      <c r="AC76" s="8">
        <v>0.13384431599999999</v>
      </c>
      <c r="AD76" s="18">
        <f t="shared" si="17"/>
        <v>5.0001654570284548E-6</v>
      </c>
      <c r="AE76" s="9">
        <v>73.7</v>
      </c>
      <c r="AF76" s="10">
        <v>84.2</v>
      </c>
      <c r="AG76" s="10">
        <v>92.9</v>
      </c>
      <c r="AH76" s="10">
        <v>89</v>
      </c>
      <c r="AI76" s="10">
        <v>90.5</v>
      </c>
      <c r="AJ76" s="10">
        <v>87.7</v>
      </c>
      <c r="AK76" s="11">
        <v>26767.97741</v>
      </c>
      <c r="AL76" s="11">
        <v>29.0625</v>
      </c>
      <c r="AM76" s="11">
        <v>4434.1866330000003</v>
      </c>
      <c r="AN76" s="11">
        <v>0.3</v>
      </c>
      <c r="AO76" s="11">
        <v>94.001000000000005</v>
      </c>
      <c r="AP76" s="19">
        <v>16.541649899999999</v>
      </c>
    </row>
    <row r="77" spans="2:42">
      <c r="B77" t="s">
        <v>125</v>
      </c>
      <c r="C77" t="s">
        <v>126</v>
      </c>
      <c r="D77" t="s">
        <v>127</v>
      </c>
      <c r="E77" t="s">
        <v>35</v>
      </c>
      <c r="F77" t="s">
        <v>36</v>
      </c>
      <c r="G77" t="s">
        <v>37</v>
      </c>
      <c r="H77" t="s">
        <v>38</v>
      </c>
      <c r="I77" t="s">
        <v>39</v>
      </c>
      <c r="J77" t="s">
        <v>40</v>
      </c>
      <c r="K77">
        <v>2009</v>
      </c>
      <c r="L77">
        <v>0.83511564457971699</v>
      </c>
      <c r="M77" s="7">
        <v>241.5678968</v>
      </c>
      <c r="N77" s="7">
        <f t="shared" si="9"/>
        <v>1.5998562385820914E-2</v>
      </c>
      <c r="O77" s="8">
        <v>3.3236987000000003E-2</v>
      </c>
      <c r="P77" s="8">
        <f t="shared" si="10"/>
        <v>2.2012196863909559E-6</v>
      </c>
      <c r="Q77" s="8">
        <v>2.5975149999999999E-3</v>
      </c>
      <c r="R77" s="8">
        <f t="shared" si="11"/>
        <v>1.7202826338307389E-7</v>
      </c>
      <c r="S77" s="8">
        <v>2.8644E-3</v>
      </c>
      <c r="T77" s="8">
        <f t="shared" si="12"/>
        <v>1.8970352726913103E-7</v>
      </c>
      <c r="U77" s="8">
        <v>1.961005E-3</v>
      </c>
      <c r="V77" s="8">
        <f t="shared" si="13"/>
        <v>1.2987346931029265E-7</v>
      </c>
      <c r="W77" s="8">
        <v>7.4118309999999998E-3</v>
      </c>
      <c r="X77" s="8">
        <f t="shared" si="14"/>
        <v>8.6012621236006677E-12</v>
      </c>
      <c r="Y77" s="8"/>
      <c r="Z77" s="8">
        <f t="shared" si="15"/>
        <v>0</v>
      </c>
      <c r="AA77" s="8">
        <v>5.3293009999999998E-3</v>
      </c>
      <c r="AB77" s="8">
        <f t="shared" si="16"/>
        <v>3.5294902861992289E-7</v>
      </c>
      <c r="AC77" s="8">
        <v>0.474685829</v>
      </c>
      <c r="AD77" s="18">
        <f t="shared" si="17"/>
        <v>3.1437500386109329E-5</v>
      </c>
      <c r="AE77" s="9">
        <v>70.8</v>
      </c>
      <c r="AF77" s="10">
        <v>74.599999999999994</v>
      </c>
      <c r="AG77" s="10">
        <v>71.099999999999994</v>
      </c>
      <c r="AH77" s="10">
        <v>73.7</v>
      </c>
      <c r="AI77" s="10">
        <v>77.7</v>
      </c>
      <c r="AJ77" s="10">
        <v>70.599999999999994</v>
      </c>
      <c r="AK77" s="11">
        <v>15099.35024</v>
      </c>
      <c r="AL77" s="11">
        <v>44.827586199999999</v>
      </c>
      <c r="AM77" s="11">
        <v>1907.12257</v>
      </c>
      <c r="AN77" s="11">
        <v>12.8</v>
      </c>
      <c r="AO77" s="11">
        <v>41.665999999999997</v>
      </c>
      <c r="AP77" s="19">
        <v>2.8117551000000001</v>
      </c>
    </row>
    <row r="78" spans="2:42">
      <c r="B78" t="s">
        <v>128</v>
      </c>
      <c r="C78" t="s">
        <v>129</v>
      </c>
      <c r="D78" t="s">
        <v>130</v>
      </c>
      <c r="E78" t="s">
        <v>35</v>
      </c>
      <c r="F78" t="s">
        <v>36</v>
      </c>
      <c r="G78" t="s">
        <v>37</v>
      </c>
      <c r="H78" t="s">
        <v>38</v>
      </c>
      <c r="I78" t="s">
        <v>39</v>
      </c>
      <c r="J78" t="s">
        <v>40</v>
      </c>
      <c r="K78">
        <v>2009</v>
      </c>
      <c r="L78">
        <v>0.208506388809508</v>
      </c>
      <c r="M78" s="7">
        <v>241.5678968</v>
      </c>
      <c r="N78" s="7">
        <f t="shared" si="9"/>
        <v>4.1455376847278388E-2</v>
      </c>
      <c r="O78" s="8">
        <v>1.017918002</v>
      </c>
      <c r="P78" s="8">
        <f t="shared" si="10"/>
        <v>1.7468452940779455E-4</v>
      </c>
      <c r="Q78" s="8">
        <v>3.8223170000000001E-2</v>
      </c>
      <c r="R78" s="8">
        <f t="shared" si="11"/>
        <v>6.5594639752958516E-6</v>
      </c>
      <c r="S78" s="8">
        <v>0.10057005500000001</v>
      </c>
      <c r="T78" s="8">
        <f t="shared" si="12"/>
        <v>1.7258789701796644E-5</v>
      </c>
      <c r="U78" s="8">
        <v>5.8479300000000001E-4</v>
      </c>
      <c r="V78" s="8">
        <f t="shared" si="13"/>
        <v>1.0035610904342018E-7</v>
      </c>
      <c r="W78" s="8">
        <v>2.637711E-3</v>
      </c>
      <c r="X78" s="8">
        <f t="shared" si="14"/>
        <v>1.7222074515828406E-11</v>
      </c>
      <c r="Y78" s="8"/>
      <c r="Z78" s="8">
        <f t="shared" si="15"/>
        <v>0</v>
      </c>
      <c r="AA78" s="8">
        <v>8.8961200000000004E-3</v>
      </c>
      <c r="AB78" s="8">
        <f t="shared" si="16"/>
        <v>1.5266598416591018E-6</v>
      </c>
      <c r="AC78" s="8">
        <v>0.80176486000000002</v>
      </c>
      <c r="AD78" s="18">
        <f t="shared" si="17"/>
        <v>1.375905691712153E-4</v>
      </c>
      <c r="AE78" s="9">
        <v>26.8</v>
      </c>
      <c r="AF78" s="10">
        <v>35.9</v>
      </c>
      <c r="AG78" s="10">
        <v>26.1</v>
      </c>
      <c r="AH78" s="10">
        <v>49.3</v>
      </c>
      <c r="AI78" s="10">
        <v>41.7</v>
      </c>
      <c r="AJ78" s="10">
        <v>37.4</v>
      </c>
      <c r="AK78" s="11">
        <v>5827.1788889999998</v>
      </c>
      <c r="AL78" s="11">
        <v>75.159622999999996</v>
      </c>
      <c r="AM78" s="11">
        <v>2166.3310900000001</v>
      </c>
      <c r="AN78" s="11">
        <v>4.8</v>
      </c>
      <c r="AO78" s="11">
        <v>42.651000000000003</v>
      </c>
      <c r="AP78" s="19">
        <v>4.8527105400000003</v>
      </c>
    </row>
    <row r="79" spans="2:42">
      <c r="B79" t="s">
        <v>131</v>
      </c>
      <c r="C79" t="s">
        <v>132</v>
      </c>
      <c r="D79" t="s">
        <v>133</v>
      </c>
      <c r="E79" t="s">
        <v>35</v>
      </c>
      <c r="F79" t="s">
        <v>36</v>
      </c>
      <c r="G79" t="s">
        <v>37</v>
      </c>
      <c r="H79" t="s">
        <v>38</v>
      </c>
      <c r="I79" t="s">
        <v>39</v>
      </c>
      <c r="J79" t="s">
        <v>40</v>
      </c>
      <c r="K79">
        <v>2009</v>
      </c>
      <c r="L79">
        <v>1.7402799427695299</v>
      </c>
      <c r="M79" s="7">
        <v>9.9311479929999997</v>
      </c>
      <c r="N79" s="7">
        <f t="shared" si="9"/>
        <v>2.2100774844712573E-4</v>
      </c>
      <c r="O79" s="8">
        <v>12.955661660000001</v>
      </c>
      <c r="P79" s="8">
        <f t="shared" si="10"/>
        <v>2.8831526980944788E-4</v>
      </c>
      <c r="Q79" s="8">
        <v>0.269958223</v>
      </c>
      <c r="R79" s="8">
        <f t="shared" si="11"/>
        <v>6.0076497784617268E-6</v>
      </c>
      <c r="S79" s="8">
        <v>2.930919534</v>
      </c>
      <c r="T79" s="8">
        <f t="shared" si="12"/>
        <v>6.5224677705499071E-5</v>
      </c>
      <c r="U79" s="8">
        <v>1.6958183000000002E-2</v>
      </c>
      <c r="V79" s="8">
        <f t="shared" si="13"/>
        <v>3.7738737205668833E-7</v>
      </c>
      <c r="W79" s="8">
        <v>0.12767571799999999</v>
      </c>
      <c r="X79" s="8">
        <f t="shared" si="14"/>
        <v>8.398377856156717E-12</v>
      </c>
      <c r="Y79" s="8">
        <v>9.5509440000000001E-2</v>
      </c>
      <c r="Z79" s="8">
        <f t="shared" si="15"/>
        <v>2.1254668951388216E-6</v>
      </c>
      <c r="AA79" s="8">
        <v>0.10455637299999999</v>
      </c>
      <c r="AB79" s="8">
        <f t="shared" si="16"/>
        <v>2.3267973248224101E-6</v>
      </c>
      <c r="AC79" s="8">
        <v>6.070251302</v>
      </c>
      <c r="AD79" s="18">
        <f t="shared" si="17"/>
        <v>1.350873608679344E-4</v>
      </c>
      <c r="AE79" s="9">
        <v>97.6</v>
      </c>
      <c r="AF79" s="10">
        <v>94.7</v>
      </c>
      <c r="AG79" s="10">
        <v>82</v>
      </c>
      <c r="AH79" s="10">
        <v>97.1</v>
      </c>
      <c r="AI79" s="10">
        <v>97.2</v>
      </c>
      <c r="AJ79" s="10">
        <v>96.2</v>
      </c>
      <c r="AK79" s="11">
        <v>44935.745750000002</v>
      </c>
      <c r="AL79" s="11">
        <v>56.845538099999999</v>
      </c>
      <c r="AM79" s="11">
        <v>6856.2818969999998</v>
      </c>
      <c r="AN79" s="11">
        <v>4.4000000000000004</v>
      </c>
      <c r="AO79" s="11">
        <v>86.287999999999997</v>
      </c>
      <c r="AP79" s="19">
        <v>23.118552999999999</v>
      </c>
    </row>
    <row r="80" spans="2:42">
      <c r="B80" t="s">
        <v>134</v>
      </c>
      <c r="C80" t="s">
        <v>135</v>
      </c>
      <c r="D80" t="s">
        <v>136</v>
      </c>
      <c r="E80" t="s">
        <v>35</v>
      </c>
      <c r="F80" t="s">
        <v>36</v>
      </c>
      <c r="G80" t="s">
        <v>37</v>
      </c>
      <c r="H80" t="s">
        <v>38</v>
      </c>
      <c r="I80" t="s">
        <v>39</v>
      </c>
      <c r="J80" t="s">
        <v>40</v>
      </c>
      <c r="K80">
        <v>2009</v>
      </c>
      <c r="L80">
        <v>0.81923638686075795</v>
      </c>
      <c r="M80" s="7">
        <v>84.342722379999998</v>
      </c>
      <c r="N80" s="7">
        <f t="shared" si="9"/>
        <v>1.5164472170234769E-3</v>
      </c>
      <c r="O80" s="8">
        <v>2.7595381780000001</v>
      </c>
      <c r="P80" s="8">
        <f t="shared" si="10"/>
        <v>4.9615353550532816E-5</v>
      </c>
      <c r="Q80" s="8">
        <v>0.23938050699999999</v>
      </c>
      <c r="R80" s="8">
        <f t="shared" si="11"/>
        <v>4.3039623740660541E-6</v>
      </c>
      <c r="S80" s="8">
        <v>5.0198116170000002</v>
      </c>
      <c r="T80" s="8">
        <f t="shared" si="12"/>
        <v>9.0254133869253106E-5</v>
      </c>
      <c r="U80" s="8">
        <v>2.0412913000000001E-2</v>
      </c>
      <c r="V80" s="8">
        <f t="shared" si="13"/>
        <v>3.6701572153109289E-7</v>
      </c>
      <c r="W80" s="8">
        <v>1.2898804E-2</v>
      </c>
      <c r="X80" s="8">
        <f t="shared" si="14"/>
        <v>6.5987906699542936E-12</v>
      </c>
      <c r="Y80" s="8">
        <v>0.10113124</v>
      </c>
      <c r="Z80" s="8">
        <f t="shared" si="15"/>
        <v>1.8182978107012028E-6</v>
      </c>
      <c r="AA80" s="8">
        <v>2.8856361000000001E-2</v>
      </c>
      <c r="AB80" s="8">
        <f t="shared" si="16"/>
        <v>5.1882541963396837E-7</v>
      </c>
      <c r="AC80" s="8">
        <v>2.0820888750000002</v>
      </c>
      <c r="AD80" s="18">
        <f t="shared" si="17"/>
        <v>3.7435095654891909E-5</v>
      </c>
      <c r="AE80" s="9">
        <v>95.2</v>
      </c>
      <c r="AF80" s="10">
        <v>97.1</v>
      </c>
      <c r="AG80" s="10">
        <v>93.4</v>
      </c>
      <c r="AH80" s="10">
        <v>92.8</v>
      </c>
      <c r="AI80" s="10">
        <v>98.1</v>
      </c>
      <c r="AJ80" s="10">
        <v>99.1</v>
      </c>
      <c r="AK80" s="11">
        <v>55618.633759999997</v>
      </c>
      <c r="AL80" s="11">
        <v>2.7769381599999998</v>
      </c>
      <c r="AM80" s="11">
        <v>23859.709579999999</v>
      </c>
      <c r="AN80" s="11">
        <v>56.7</v>
      </c>
      <c r="AO80" s="11">
        <v>78.814999999999998</v>
      </c>
      <c r="AP80" s="19">
        <v>2.2258474700000002</v>
      </c>
    </row>
    <row r="81" spans="2:42">
      <c r="B81" t="s">
        <v>137</v>
      </c>
      <c r="C81" t="s">
        <v>138</v>
      </c>
      <c r="D81" t="s">
        <v>139</v>
      </c>
      <c r="E81" t="s">
        <v>35</v>
      </c>
      <c r="F81" t="s">
        <v>36</v>
      </c>
      <c r="G81" t="s">
        <v>37</v>
      </c>
      <c r="H81" t="s">
        <v>38</v>
      </c>
      <c r="I81" t="s">
        <v>39</v>
      </c>
      <c r="J81" t="s">
        <v>40</v>
      </c>
      <c r="K81">
        <v>2009</v>
      </c>
      <c r="L81">
        <v>0.70195539511138505</v>
      </c>
      <c r="M81" s="7">
        <v>1.0363168030000001</v>
      </c>
      <c r="N81" s="7">
        <f t="shared" si="9"/>
        <v>5.3722671385680569E-5</v>
      </c>
      <c r="O81" s="8">
        <v>18.679516469999999</v>
      </c>
      <c r="P81" s="8">
        <f t="shared" si="10"/>
        <v>9.6834628373889038E-4</v>
      </c>
      <c r="Q81" s="8">
        <v>3.9345678089999998</v>
      </c>
      <c r="R81" s="8">
        <f t="shared" si="11"/>
        <v>2.0396802679999019E-4</v>
      </c>
      <c r="S81" s="8">
        <v>21.128790420000001</v>
      </c>
      <c r="T81" s="8">
        <f t="shared" si="12"/>
        <v>1.0953166649663748E-3</v>
      </c>
      <c r="U81" s="8">
        <v>8.2637460999999995E-2</v>
      </c>
      <c r="V81" s="8">
        <f t="shared" si="13"/>
        <v>4.2839266415426374E-6</v>
      </c>
      <c r="W81" s="8">
        <v>8.7216603000000004E-2</v>
      </c>
      <c r="X81" s="8">
        <f t="shared" si="14"/>
        <v>2.220787914831844E-10</v>
      </c>
      <c r="Y81" s="8">
        <v>1.634793E-2</v>
      </c>
      <c r="Z81" s="8">
        <f t="shared" si="15"/>
        <v>8.4747682241924322E-7</v>
      </c>
      <c r="AA81" s="8">
        <v>0.23375200600000001</v>
      </c>
      <c r="AB81" s="8">
        <f t="shared" si="16"/>
        <v>1.211770586728741E-5</v>
      </c>
      <c r="AC81" s="8">
        <v>11.80962362</v>
      </c>
      <c r="AD81" s="18">
        <f t="shared" si="17"/>
        <v>6.1221098325260994E-4</v>
      </c>
      <c r="AE81" s="9">
        <v>70.3</v>
      </c>
      <c r="AF81" s="10">
        <v>68.900000000000006</v>
      </c>
      <c r="AG81" s="10">
        <v>81.5</v>
      </c>
      <c r="AH81" s="10">
        <v>78.900000000000006</v>
      </c>
      <c r="AI81" s="10">
        <v>67.8</v>
      </c>
      <c r="AJ81" s="10">
        <v>80.099999999999994</v>
      </c>
      <c r="AK81" s="11">
        <v>19290.120470000002</v>
      </c>
      <c r="AL81" s="11">
        <v>50.995820799999997</v>
      </c>
      <c r="AM81" s="11">
        <v>3590.832081</v>
      </c>
      <c r="AN81" s="11">
        <v>8.8000000000000007</v>
      </c>
      <c r="AO81" s="11">
        <v>61.003999999999998</v>
      </c>
      <c r="AP81" s="19">
        <v>3.18105495</v>
      </c>
    </row>
    <row r="82" spans="2:42">
      <c r="B82" t="s">
        <v>140</v>
      </c>
      <c r="C82" t="s">
        <v>141</v>
      </c>
      <c r="D82" t="s">
        <v>142</v>
      </c>
      <c r="E82" t="s">
        <v>35</v>
      </c>
      <c r="F82" t="s">
        <v>36</v>
      </c>
      <c r="G82" t="s">
        <v>37</v>
      </c>
      <c r="H82" t="s">
        <v>38</v>
      </c>
      <c r="I82" t="s">
        <v>39</v>
      </c>
      <c r="J82" t="s">
        <v>40</v>
      </c>
      <c r="K82">
        <v>2009</v>
      </c>
      <c r="L82">
        <v>0.61332406776105297</v>
      </c>
      <c r="M82" s="7">
        <v>73.547417730000006</v>
      </c>
      <c r="N82" s="7">
        <f t="shared" si="9"/>
        <v>2.7797684174693704E-3</v>
      </c>
      <c r="O82" s="8">
        <v>4.7480749409999996</v>
      </c>
      <c r="P82" s="8">
        <f t="shared" si="10"/>
        <v>1.7945631773535204E-4</v>
      </c>
      <c r="Q82" s="8">
        <v>0.42078861000000001</v>
      </c>
      <c r="R82" s="8">
        <f t="shared" si="11"/>
        <v>1.5903955905058478E-5</v>
      </c>
      <c r="S82" s="8">
        <v>0.28769019400000001</v>
      </c>
      <c r="T82" s="8">
        <f t="shared" si="12"/>
        <v>1.0873422072174717E-5</v>
      </c>
      <c r="U82" s="8">
        <v>5.7886405000000002E-2</v>
      </c>
      <c r="V82" s="8">
        <f t="shared" si="13"/>
        <v>2.1878511222591232E-6</v>
      </c>
      <c r="W82" s="8">
        <v>3.2455227000000003E-2</v>
      </c>
      <c r="X82" s="8">
        <f t="shared" si="14"/>
        <v>8.2691135045793666E-11</v>
      </c>
      <c r="Y82" s="8">
        <v>1.9881709999999999E-3</v>
      </c>
      <c r="Z82" s="8">
        <f t="shared" si="15"/>
        <v>7.5144106005426373E-8</v>
      </c>
      <c r="AA82" s="8">
        <v>3.9319801000000001E-2</v>
      </c>
      <c r="AB82" s="8">
        <f t="shared" si="16"/>
        <v>1.4861152760282039E-6</v>
      </c>
      <c r="AC82" s="8">
        <v>4.2552060169999999</v>
      </c>
      <c r="AD82" s="18">
        <f t="shared" si="17"/>
        <v>1.6082804347129908E-4</v>
      </c>
      <c r="AE82" s="9">
        <v>81.8</v>
      </c>
      <c r="AF82" s="10">
        <v>83.3</v>
      </c>
      <c r="AG82" s="10">
        <v>73</v>
      </c>
      <c r="AH82" s="10">
        <v>79.400000000000006</v>
      </c>
      <c r="AI82" s="10">
        <v>83.4</v>
      </c>
      <c r="AJ82" s="10">
        <v>86.7</v>
      </c>
      <c r="AK82" s="11">
        <v>26458.109700000001</v>
      </c>
      <c r="AL82" s="11">
        <v>40.349164799999997</v>
      </c>
      <c r="AM82" s="11">
        <v>4843.8496940000005</v>
      </c>
      <c r="AN82" s="11">
        <v>24.9</v>
      </c>
      <c r="AO82" s="11">
        <v>59.963999999999999</v>
      </c>
      <c r="AP82" s="19">
        <v>2.3513391299999999</v>
      </c>
    </row>
    <row r="83" spans="2:42">
      <c r="B83" t="s">
        <v>143</v>
      </c>
      <c r="C83" t="s">
        <v>144</v>
      </c>
      <c r="D83" t="s">
        <v>145</v>
      </c>
      <c r="E83" t="s">
        <v>35</v>
      </c>
      <c r="F83" t="s">
        <v>36</v>
      </c>
      <c r="G83" t="s">
        <v>37</v>
      </c>
      <c r="H83" t="s">
        <v>38</v>
      </c>
      <c r="I83" t="s">
        <v>39</v>
      </c>
      <c r="J83" t="s">
        <v>40</v>
      </c>
      <c r="K83">
        <v>2009</v>
      </c>
      <c r="L83">
        <v>0.55033543393940498</v>
      </c>
      <c r="M83" s="7">
        <v>11.8764801</v>
      </c>
      <c r="N83" s="7">
        <f t="shared" si="9"/>
        <v>7.1406842275155934E-4</v>
      </c>
      <c r="O83" s="8">
        <v>11.25773845</v>
      </c>
      <c r="P83" s="8">
        <f t="shared" si="10"/>
        <v>6.7686683857964651E-4</v>
      </c>
      <c r="Q83" s="8">
        <v>1.2700108720000001</v>
      </c>
      <c r="R83" s="8">
        <f t="shared" si="11"/>
        <v>7.6358875071610866E-5</v>
      </c>
      <c r="S83" s="8">
        <v>4.2166690879999997</v>
      </c>
      <c r="T83" s="8">
        <f t="shared" si="12"/>
        <v>2.5352547384249107E-4</v>
      </c>
      <c r="U83" s="8">
        <v>1.6971125E-2</v>
      </c>
      <c r="V83" s="8">
        <f t="shared" si="13"/>
        <v>1.0203818268570632E-6</v>
      </c>
      <c r="W83" s="8">
        <v>1.3143468E-2</v>
      </c>
      <c r="X83" s="8">
        <f t="shared" si="14"/>
        <v>6.1350032633673824E-11</v>
      </c>
      <c r="Y83" s="8">
        <v>4.1710667999999999E-2</v>
      </c>
      <c r="Z83" s="8">
        <f t="shared" si="15"/>
        <v>2.5078365525719979E-6</v>
      </c>
      <c r="AA83" s="8">
        <v>3.6136438999999999E-2</v>
      </c>
      <c r="AB83" s="8">
        <f t="shared" si="16"/>
        <v>2.172688354067796E-6</v>
      </c>
      <c r="AC83" s="8">
        <v>5.5757345730000001</v>
      </c>
      <c r="AD83" s="18">
        <f t="shared" si="17"/>
        <v>3.3523872045417301E-4</v>
      </c>
      <c r="AE83" s="9">
        <v>48.8</v>
      </c>
      <c r="AF83" s="10">
        <v>43.5</v>
      </c>
      <c r="AG83" s="10">
        <v>56.9</v>
      </c>
      <c r="AH83" s="10">
        <v>70.3</v>
      </c>
      <c r="AI83" s="10">
        <v>56.9</v>
      </c>
      <c r="AJ83" s="10">
        <v>60.2</v>
      </c>
      <c r="AK83" s="11">
        <v>16632.13177</v>
      </c>
      <c r="AL83" s="11">
        <v>59.206294</v>
      </c>
      <c r="AM83" s="11">
        <v>2390.5747430000001</v>
      </c>
      <c r="AN83" s="11">
        <v>22.1</v>
      </c>
      <c r="AO83" s="11">
        <v>53.698</v>
      </c>
      <c r="AP83" s="19">
        <v>2.6636440700000001</v>
      </c>
    </row>
    <row r="84" spans="2:42">
      <c r="B84" t="s">
        <v>146</v>
      </c>
      <c r="C84" t="s">
        <v>147</v>
      </c>
      <c r="D84" t="s">
        <v>148</v>
      </c>
      <c r="E84" t="s">
        <v>35</v>
      </c>
      <c r="F84" t="s">
        <v>36</v>
      </c>
      <c r="G84" t="s">
        <v>37</v>
      </c>
      <c r="H84" t="s">
        <v>38</v>
      </c>
      <c r="I84" t="s">
        <v>39</v>
      </c>
      <c r="J84" t="s">
        <v>40</v>
      </c>
      <c r="K84">
        <v>2009</v>
      </c>
      <c r="L84">
        <v>0.89587740812161798</v>
      </c>
      <c r="M84" s="7">
        <v>1.096682857</v>
      </c>
      <c r="N84" s="7">
        <f t="shared" si="9"/>
        <v>4.7546715983485047E-5</v>
      </c>
      <c r="O84" s="8">
        <v>1.7746940630000001</v>
      </c>
      <c r="P84" s="8">
        <f t="shared" si="10"/>
        <v>7.6941910810809837E-5</v>
      </c>
      <c r="Q84" s="8">
        <v>5.1888283E-2</v>
      </c>
      <c r="R84" s="8">
        <f t="shared" si="11"/>
        <v>2.2496179628635295E-6</v>
      </c>
      <c r="S84" s="8">
        <v>1.1063070209999999</v>
      </c>
      <c r="T84" s="8">
        <f t="shared" si="12"/>
        <v>4.7963971883279307E-5</v>
      </c>
      <c r="U84" s="8">
        <v>2.1709560999999999E-2</v>
      </c>
      <c r="V84" s="8">
        <f t="shared" si="13"/>
        <v>9.4121862524303461E-7</v>
      </c>
      <c r="W84" s="8">
        <v>1.1610406E-2</v>
      </c>
      <c r="X84" s="8">
        <f t="shared" si="14"/>
        <v>4.0806559861085541E-11</v>
      </c>
      <c r="Y84" s="8">
        <v>1.1461809E-2</v>
      </c>
      <c r="Z84" s="8">
        <f t="shared" si="15"/>
        <v>4.9692705024197596E-7</v>
      </c>
      <c r="AA84" s="8">
        <v>1.0555006E-2</v>
      </c>
      <c r="AB84" s="8">
        <f t="shared" si="16"/>
        <v>4.5761258077728902E-7</v>
      </c>
      <c r="AC84" s="8">
        <v>3.854646276</v>
      </c>
      <c r="AD84" s="18">
        <f t="shared" si="17"/>
        <v>1.6711829726519589E-4</v>
      </c>
      <c r="AE84" s="9">
        <v>65.599999999999994</v>
      </c>
      <c r="AF84" s="10">
        <v>75.599999999999994</v>
      </c>
      <c r="AG84" s="10">
        <v>80.099999999999994</v>
      </c>
      <c r="AH84" s="10">
        <v>80.900000000000006</v>
      </c>
      <c r="AI84" s="10">
        <v>65.400000000000006</v>
      </c>
      <c r="AJ84" s="10">
        <v>73</v>
      </c>
      <c r="AK84" s="11">
        <v>23065.375479999999</v>
      </c>
      <c r="AL84" s="11">
        <v>40.133083800000001</v>
      </c>
      <c r="AM84" s="11">
        <v>4954.1382510000003</v>
      </c>
      <c r="AN84" s="11">
        <v>10</v>
      </c>
      <c r="AO84" s="11">
        <v>54.96</v>
      </c>
      <c r="AP84" s="19">
        <v>1.7025214099999999</v>
      </c>
    </row>
    <row r="85" spans="2:42">
      <c r="B85" t="s">
        <v>149</v>
      </c>
      <c r="C85" t="s">
        <v>150</v>
      </c>
      <c r="D85" t="s">
        <v>151</v>
      </c>
      <c r="E85" t="s">
        <v>35</v>
      </c>
      <c r="F85" t="s">
        <v>36</v>
      </c>
      <c r="G85" t="s">
        <v>37</v>
      </c>
      <c r="H85" t="s">
        <v>38</v>
      </c>
      <c r="I85" t="s">
        <v>39</v>
      </c>
      <c r="J85" t="s">
        <v>40</v>
      </c>
      <c r="K85">
        <v>2009</v>
      </c>
      <c r="L85">
        <v>0.88707733299498803</v>
      </c>
      <c r="M85" s="7">
        <v>44.20048774</v>
      </c>
      <c r="N85" s="7">
        <f t="shared" si="9"/>
        <v>1.6241541855227433E-3</v>
      </c>
      <c r="O85" s="8">
        <v>1.545674473</v>
      </c>
      <c r="P85" s="8">
        <f t="shared" si="10"/>
        <v>5.6796062512829877E-5</v>
      </c>
      <c r="Q85" s="8">
        <v>0.193204185</v>
      </c>
      <c r="R85" s="8">
        <f t="shared" si="11"/>
        <v>7.0993195272885563E-6</v>
      </c>
      <c r="S85" s="8">
        <v>1.295080293</v>
      </c>
      <c r="T85" s="8">
        <f t="shared" si="12"/>
        <v>4.7587938188303138E-5</v>
      </c>
      <c r="U85" s="8">
        <v>4.5263020000000003E-3</v>
      </c>
      <c r="V85" s="8">
        <f t="shared" si="13"/>
        <v>1.6631971080235787E-7</v>
      </c>
      <c r="W85" s="8">
        <v>3.866656E-3</v>
      </c>
      <c r="X85" s="8">
        <f t="shared" si="14"/>
        <v>6.1114451049399608E-12</v>
      </c>
      <c r="Y85" s="8">
        <v>6.7219300000000001E-3</v>
      </c>
      <c r="Z85" s="8">
        <f t="shared" si="15"/>
        <v>2.4699842247240538E-7</v>
      </c>
      <c r="AA85" s="8">
        <v>1.1153098E-2</v>
      </c>
      <c r="AB85" s="8">
        <f t="shared" si="16"/>
        <v>4.0982241881128475E-7</v>
      </c>
      <c r="AC85" s="8">
        <v>0.882322944</v>
      </c>
      <c r="AD85" s="18">
        <f t="shared" si="17"/>
        <v>3.2421101570413328E-5</v>
      </c>
      <c r="AE85" s="9">
        <v>80.900000000000006</v>
      </c>
      <c r="AF85" s="10">
        <v>82.8</v>
      </c>
      <c r="AG85" s="10">
        <v>81</v>
      </c>
      <c r="AH85" s="10">
        <v>77</v>
      </c>
      <c r="AI85" s="10">
        <v>83.9</v>
      </c>
      <c r="AJ85" s="10">
        <v>82</v>
      </c>
      <c r="AK85" s="11">
        <v>27214.46531</v>
      </c>
      <c r="AL85" s="11">
        <v>31.029792799999999</v>
      </c>
      <c r="AM85" s="11">
        <v>6104.4218449999998</v>
      </c>
      <c r="AN85" s="11">
        <v>19.600000000000001</v>
      </c>
      <c r="AO85" s="11">
        <v>52.433</v>
      </c>
      <c r="AP85" s="19">
        <v>-0.69428239999999997</v>
      </c>
    </row>
    <row r="86" spans="2:42">
      <c r="B86" t="s">
        <v>152</v>
      </c>
      <c r="C86" t="s">
        <v>153</v>
      </c>
      <c r="D86" t="s">
        <v>154</v>
      </c>
      <c r="E86" t="s">
        <v>35</v>
      </c>
      <c r="F86" t="s">
        <v>36</v>
      </c>
      <c r="G86" t="s">
        <v>37</v>
      </c>
      <c r="H86" t="s">
        <v>38</v>
      </c>
      <c r="I86" t="s">
        <v>39</v>
      </c>
      <c r="J86" t="s">
        <v>40</v>
      </c>
      <c r="K86">
        <v>2009</v>
      </c>
      <c r="L86">
        <v>1.00652468898546</v>
      </c>
      <c r="M86" s="7">
        <v>1.096682857</v>
      </c>
      <c r="N86" s="7">
        <f t="shared" si="9"/>
        <v>3.4056911273979176E-5</v>
      </c>
      <c r="O86" s="8">
        <v>26.661468880000001</v>
      </c>
      <c r="P86" s="8">
        <f t="shared" si="10"/>
        <v>8.2795794088000123E-4</v>
      </c>
      <c r="Q86" s="8">
        <v>1.0484979750000001</v>
      </c>
      <c r="R86" s="8">
        <f t="shared" si="11"/>
        <v>3.256055502062237E-5</v>
      </c>
      <c r="S86" s="8">
        <v>1.809184079</v>
      </c>
      <c r="T86" s="8">
        <f t="shared" si="12"/>
        <v>5.6183263250187491E-5</v>
      </c>
      <c r="U86" s="8">
        <v>7.6043720999999995E-2</v>
      </c>
      <c r="V86" s="8">
        <f t="shared" si="13"/>
        <v>2.3614978956858323E-6</v>
      </c>
      <c r="W86" s="8">
        <v>0.13229179499999999</v>
      </c>
      <c r="X86" s="8">
        <f t="shared" si="14"/>
        <v>7.3335079320074499E-11</v>
      </c>
      <c r="Y86" s="8">
        <v>3.6701719000000001E-2</v>
      </c>
      <c r="Z86" s="8">
        <f t="shared" si="15"/>
        <v>1.1397526455412766E-6</v>
      </c>
      <c r="AA86" s="8">
        <v>0.24804586200000001</v>
      </c>
      <c r="AB86" s="8">
        <f t="shared" si="16"/>
        <v>7.7029342257801728E-6</v>
      </c>
      <c r="AC86" s="8">
        <v>18.35227171</v>
      </c>
      <c r="AD86" s="18">
        <f t="shared" si="17"/>
        <v>5.6992017821194782E-4</v>
      </c>
      <c r="AE86" s="9">
        <v>81.3</v>
      </c>
      <c r="AF86" s="10">
        <v>78</v>
      </c>
      <c r="AG86" s="10">
        <v>30.3</v>
      </c>
      <c r="AH86" s="10">
        <v>84.7</v>
      </c>
      <c r="AI86" s="10">
        <v>86.3</v>
      </c>
      <c r="AJ86" s="10">
        <v>88.2</v>
      </c>
      <c r="AK86" s="11">
        <v>32201.477350000001</v>
      </c>
      <c r="AL86" s="11">
        <v>56.090322100000002</v>
      </c>
      <c r="AM86" s="11">
        <v>5652.5959329999996</v>
      </c>
      <c r="AN86" s="11">
        <v>12.2</v>
      </c>
      <c r="AO86" s="11">
        <v>78.209999999999994</v>
      </c>
      <c r="AP86" s="19">
        <v>0.63810586999999996</v>
      </c>
    </row>
    <row r="87" spans="2:42">
      <c r="B87" t="s">
        <v>155</v>
      </c>
      <c r="C87" t="s">
        <v>156</v>
      </c>
      <c r="D87" t="s">
        <v>157</v>
      </c>
      <c r="E87" t="s">
        <v>35</v>
      </c>
      <c r="F87" t="s">
        <v>36</v>
      </c>
      <c r="G87" t="s">
        <v>37</v>
      </c>
      <c r="H87" t="s">
        <v>38</v>
      </c>
      <c r="I87" t="s">
        <v>39</v>
      </c>
      <c r="J87" t="s">
        <v>40</v>
      </c>
      <c r="K87">
        <v>2009</v>
      </c>
      <c r="L87">
        <v>0.466812942902884</v>
      </c>
      <c r="M87" s="7">
        <v>62.501656089999997</v>
      </c>
      <c r="N87" s="7">
        <f t="shared" si="9"/>
        <v>1.559689192774339E-3</v>
      </c>
      <c r="O87" s="8">
        <v>4.1757114849999999</v>
      </c>
      <c r="P87" s="8">
        <f t="shared" si="10"/>
        <v>1.0420223211237772E-4</v>
      </c>
      <c r="Q87" s="8">
        <v>0.26255041499999998</v>
      </c>
      <c r="R87" s="8">
        <f t="shared" si="11"/>
        <v>6.55177911196877E-6</v>
      </c>
      <c r="S87" s="8">
        <v>0.13830930399999999</v>
      </c>
      <c r="T87" s="8">
        <f t="shared" si="12"/>
        <v>3.4514209735228898E-6</v>
      </c>
      <c r="U87" s="8">
        <v>0.16152791899999999</v>
      </c>
      <c r="V87" s="8">
        <f t="shared" si="13"/>
        <v>4.030826786939124E-6</v>
      </c>
      <c r="W87" s="8">
        <v>0.170444079</v>
      </c>
      <c r="X87" s="8">
        <f t="shared" si="14"/>
        <v>1.00586726349802E-10</v>
      </c>
      <c r="Y87" s="8">
        <v>1.065902E-2</v>
      </c>
      <c r="Z87" s="8">
        <f t="shared" si="15"/>
        <v>2.6598908476323442E-7</v>
      </c>
      <c r="AA87" s="8">
        <v>6.3638150000000004E-2</v>
      </c>
      <c r="AB87" s="8">
        <f t="shared" si="16"/>
        <v>1.5880496775993878E-6</v>
      </c>
      <c r="AC87" s="8">
        <v>4.2273054500000002</v>
      </c>
      <c r="AD87" s="18">
        <f t="shared" si="17"/>
        <v>1.0548972679103077E-4</v>
      </c>
      <c r="AE87" s="9">
        <v>99</v>
      </c>
      <c r="AF87" s="10">
        <v>98.6</v>
      </c>
      <c r="AG87" s="10">
        <v>87.2</v>
      </c>
      <c r="AH87" s="10">
        <v>95.7</v>
      </c>
      <c r="AI87" s="10">
        <v>99.5</v>
      </c>
      <c r="AJ87" s="10">
        <v>98.6</v>
      </c>
      <c r="AK87" s="11">
        <v>40073.148150000001</v>
      </c>
      <c r="AL87" s="11">
        <v>7.5298332099999996</v>
      </c>
      <c r="AM87" s="11">
        <v>14143.01101</v>
      </c>
      <c r="AN87" s="11">
        <v>45.7</v>
      </c>
      <c r="AO87" s="11">
        <v>84.902000000000001</v>
      </c>
      <c r="AP87" s="19">
        <v>2.0632251400000001</v>
      </c>
    </row>
    <row r="88" spans="2:42">
      <c r="B88" t="s">
        <v>158</v>
      </c>
      <c r="C88" t="s">
        <v>159</v>
      </c>
      <c r="D88" t="s">
        <v>160</v>
      </c>
      <c r="E88" t="s">
        <v>35</v>
      </c>
      <c r="F88" t="s">
        <v>36</v>
      </c>
      <c r="G88" t="s">
        <v>37</v>
      </c>
      <c r="H88" t="s">
        <v>38</v>
      </c>
      <c r="I88" t="s">
        <v>39</v>
      </c>
      <c r="J88" t="s">
        <v>40</v>
      </c>
      <c r="K88">
        <v>2009</v>
      </c>
      <c r="L88">
        <v>0.62987404042862505</v>
      </c>
      <c r="M88" s="7">
        <v>44.20048774</v>
      </c>
      <c r="N88" s="7">
        <f t="shared" si="9"/>
        <v>8.3442216055758635E-4</v>
      </c>
      <c r="O88" s="8">
        <v>4.1419923350000003</v>
      </c>
      <c r="P88" s="8">
        <f t="shared" si="10"/>
        <v>7.8193032925651207E-5</v>
      </c>
      <c r="Q88" s="8">
        <v>0.27118893900000002</v>
      </c>
      <c r="R88" s="8">
        <f t="shared" si="11"/>
        <v>5.1195376334030364E-6</v>
      </c>
      <c r="S88" s="8">
        <v>0.39818203400000002</v>
      </c>
      <c r="T88" s="8">
        <f t="shared" si="12"/>
        <v>7.5169286606042853E-6</v>
      </c>
      <c r="U88" s="8">
        <v>1.8074417999999998E-2</v>
      </c>
      <c r="V88" s="8">
        <f t="shared" si="13"/>
        <v>3.4121105194801926E-7</v>
      </c>
      <c r="W88" s="8">
        <v>3.7000816999999998E-2</v>
      </c>
      <c r="X88" s="8">
        <f t="shared" si="14"/>
        <v>6.4414235618250003E-12</v>
      </c>
      <c r="Y88" s="8">
        <v>2.166584E-3</v>
      </c>
      <c r="Z88" s="8">
        <f t="shared" si="15"/>
        <v>4.0901035141145201E-8</v>
      </c>
      <c r="AA88" s="8">
        <v>4.1314960999999997E-2</v>
      </c>
      <c r="AB88" s="8">
        <f t="shared" si="16"/>
        <v>7.7994883730150483E-7</v>
      </c>
      <c r="AC88" s="8">
        <v>0.21990389099999999</v>
      </c>
      <c r="AD88" s="18">
        <f t="shared" si="17"/>
        <v>4.1513722862651825E-6</v>
      </c>
      <c r="AE88" s="9">
        <v>97.1</v>
      </c>
      <c r="AF88" s="10">
        <v>98.1</v>
      </c>
      <c r="AG88" s="10">
        <v>94.8</v>
      </c>
      <c r="AH88" s="10">
        <v>94.3</v>
      </c>
      <c r="AI88" s="10">
        <v>95.7</v>
      </c>
      <c r="AJ88" s="10">
        <v>99.5</v>
      </c>
      <c r="AK88" s="11">
        <v>52971.37328</v>
      </c>
      <c r="AL88" s="11">
        <v>38.915451500000003</v>
      </c>
      <c r="AM88" s="11">
        <v>8021.2236039999998</v>
      </c>
      <c r="AN88" s="11">
        <v>20</v>
      </c>
      <c r="AO88" s="11">
        <v>73.581000000000003</v>
      </c>
      <c r="AP88" s="19">
        <v>8.5993250900000007</v>
      </c>
    </row>
    <row r="89" spans="2:42">
      <c r="B89" t="s">
        <v>161</v>
      </c>
      <c r="C89" t="s">
        <v>162</v>
      </c>
      <c r="D89" t="s">
        <v>163</v>
      </c>
      <c r="E89" t="s">
        <v>35</v>
      </c>
      <c r="F89" t="s">
        <v>36</v>
      </c>
      <c r="G89" t="s">
        <v>37</v>
      </c>
      <c r="H89" t="s">
        <v>38</v>
      </c>
      <c r="I89" t="s">
        <v>39</v>
      </c>
      <c r="J89" t="s">
        <v>40</v>
      </c>
      <c r="K89">
        <v>2009</v>
      </c>
      <c r="L89">
        <v>0.321271439502894</v>
      </c>
      <c r="M89" s="7">
        <v>50.578971590000002</v>
      </c>
      <c r="N89" s="7">
        <f t="shared" si="9"/>
        <v>3.2753909675645441E-3</v>
      </c>
      <c r="O89" s="8">
        <v>29.2101291</v>
      </c>
      <c r="P89" s="8">
        <f t="shared" si="10"/>
        <v>1.8915883421095521E-3</v>
      </c>
      <c r="Q89" s="8">
        <v>2.895830202</v>
      </c>
      <c r="R89" s="8">
        <f t="shared" si="11"/>
        <v>1.875280534392417E-4</v>
      </c>
      <c r="S89" s="8">
        <v>6.9940692999999996</v>
      </c>
      <c r="T89" s="8">
        <f t="shared" si="12"/>
        <v>4.5292165284494809E-4</v>
      </c>
      <c r="U89" s="8">
        <v>5.1388336E-2</v>
      </c>
      <c r="V89" s="8">
        <f t="shared" si="13"/>
        <v>3.3278037548286159E-6</v>
      </c>
      <c r="W89" s="8">
        <v>9.1269679000000006E-2</v>
      </c>
      <c r="X89" s="8">
        <f t="shared" si="14"/>
        <v>2.1550177905451997E-10</v>
      </c>
      <c r="Y89" s="8">
        <v>1.2507291E-2</v>
      </c>
      <c r="Z89" s="8">
        <f t="shared" si="15"/>
        <v>8.0994663755086666E-7</v>
      </c>
      <c r="AA89" s="8">
        <v>0.23634370800000001</v>
      </c>
      <c r="AB89" s="8">
        <f t="shared" si="16"/>
        <v>1.5305136148259753E-5</v>
      </c>
      <c r="AC89" s="8">
        <v>30.115687820000002</v>
      </c>
      <c r="AD89" s="18">
        <f t="shared" si="17"/>
        <v>1.9502304765548824E-3</v>
      </c>
      <c r="AE89" s="9">
        <v>60.3</v>
      </c>
      <c r="AF89" s="10">
        <v>62.7</v>
      </c>
      <c r="AG89" s="10">
        <v>15.6</v>
      </c>
      <c r="AH89" s="10">
        <v>62.2</v>
      </c>
      <c r="AI89" s="10">
        <v>56.4</v>
      </c>
      <c r="AJ89" s="10">
        <v>45.5</v>
      </c>
      <c r="AK89" s="11">
        <v>15442.117319999999</v>
      </c>
      <c r="AL89" s="11">
        <v>50.558060400000002</v>
      </c>
      <c r="AM89" s="11">
        <v>2291.6271449999999</v>
      </c>
      <c r="AN89" s="11">
        <v>13.1</v>
      </c>
      <c r="AO89" s="11">
        <v>70.241</v>
      </c>
      <c r="AP89" s="19">
        <v>1.32221487</v>
      </c>
    </row>
    <row r="90" spans="2:42">
      <c r="B90" t="s">
        <v>164</v>
      </c>
      <c r="C90" t="s">
        <v>165</v>
      </c>
      <c r="D90" t="s">
        <v>166</v>
      </c>
      <c r="E90" t="s">
        <v>35</v>
      </c>
      <c r="F90" t="s">
        <v>36</v>
      </c>
      <c r="G90" t="s">
        <v>37</v>
      </c>
      <c r="H90" t="s">
        <v>38</v>
      </c>
      <c r="I90" t="s">
        <v>39</v>
      </c>
      <c r="J90" t="s">
        <v>40</v>
      </c>
      <c r="K90">
        <v>2009</v>
      </c>
      <c r="L90">
        <v>2.2046321135714E-2</v>
      </c>
      <c r="M90" s="7">
        <v>34.408740520000002</v>
      </c>
      <c r="N90" s="7">
        <f t="shared" si="9"/>
        <v>1.707961397889143E-2</v>
      </c>
      <c r="O90" s="8">
        <v>15.21629532</v>
      </c>
      <c r="P90" s="8">
        <f t="shared" si="10"/>
        <v>7.5529777122575192E-3</v>
      </c>
      <c r="Q90" s="8">
        <v>2.5438529139999999</v>
      </c>
      <c r="R90" s="8">
        <f t="shared" si="11"/>
        <v>1.2627031717404485E-3</v>
      </c>
      <c r="S90" s="8">
        <v>3.1164672000000002</v>
      </c>
      <c r="T90" s="8">
        <f t="shared" si="12"/>
        <v>1.5469341786264437E-3</v>
      </c>
      <c r="U90" s="8">
        <v>7.4045230000000004E-2</v>
      </c>
      <c r="V90" s="8">
        <f t="shared" si="13"/>
        <v>3.6754148110801903E-5</v>
      </c>
      <c r="W90" s="8">
        <v>2.0319180000000002E-3</v>
      </c>
      <c r="X90" s="8">
        <f t="shared" si="14"/>
        <v>1.8243813995185959E-8</v>
      </c>
      <c r="Y90" s="8"/>
      <c r="Z90" s="8">
        <f t="shared" si="15"/>
        <v>0</v>
      </c>
      <c r="AA90" s="8">
        <v>1.0455516999999999E-2</v>
      </c>
      <c r="AB90" s="8">
        <f t="shared" si="16"/>
        <v>5.1898497768594564E-6</v>
      </c>
      <c r="AC90" s="8">
        <v>2.3417639960000001</v>
      </c>
      <c r="AD90" s="18">
        <f t="shared" si="17"/>
        <v>1.1623914295293203E-3</v>
      </c>
      <c r="AE90" s="9">
        <v>19.600000000000001</v>
      </c>
      <c r="AF90" s="10">
        <v>29.7</v>
      </c>
      <c r="AG90" s="10">
        <v>16.600000000000001</v>
      </c>
      <c r="AH90" s="10">
        <v>46.9</v>
      </c>
      <c r="AI90" s="10">
        <v>42.2</v>
      </c>
      <c r="AJ90" s="10">
        <v>30.8</v>
      </c>
      <c r="AK90" s="11">
        <v>2014.608794</v>
      </c>
      <c r="AL90" s="11">
        <v>70.642110000000002</v>
      </c>
      <c r="AM90" s="11">
        <v>49.982272510000001</v>
      </c>
      <c r="AN90" s="11">
        <v>94.3</v>
      </c>
      <c r="AO90" s="11">
        <v>18.878</v>
      </c>
      <c r="AP90" s="19">
        <v>3.3491615499999998</v>
      </c>
    </row>
    <row r="91" spans="2:42">
      <c r="B91" t="s">
        <v>167</v>
      </c>
      <c r="C91" t="s">
        <v>168</v>
      </c>
      <c r="D91" t="s">
        <v>169</v>
      </c>
      <c r="E91" t="s">
        <v>35</v>
      </c>
      <c r="F91" t="s">
        <v>36</v>
      </c>
      <c r="G91" t="s">
        <v>37</v>
      </c>
      <c r="H91" t="s">
        <v>38</v>
      </c>
      <c r="I91" t="s">
        <v>39</v>
      </c>
      <c r="J91" t="s">
        <v>40</v>
      </c>
      <c r="K91">
        <v>2009</v>
      </c>
      <c r="L91">
        <v>0.27831932869541398</v>
      </c>
      <c r="M91" s="7">
        <v>43604.463519999998</v>
      </c>
      <c r="N91" s="7">
        <f t="shared" si="9"/>
        <v>5.4542288248517981</v>
      </c>
      <c r="O91" s="8">
        <v>16.362258140000002</v>
      </c>
      <c r="P91" s="8">
        <f t="shared" si="10"/>
        <v>2.0466597403708633E-3</v>
      </c>
      <c r="Q91" s="8">
        <v>0.62287132199999995</v>
      </c>
      <c r="R91" s="8">
        <f t="shared" si="11"/>
        <v>7.7911352287770238E-5</v>
      </c>
      <c r="S91" s="8">
        <v>48.069051010000003</v>
      </c>
      <c r="T91" s="8">
        <f t="shared" si="12"/>
        <v>6.0126781168115947E-3</v>
      </c>
      <c r="U91" s="8">
        <v>5.5444640000000003E-2</v>
      </c>
      <c r="V91" s="8">
        <f t="shared" si="13"/>
        <v>6.9352476618093485E-6</v>
      </c>
      <c r="W91" s="8">
        <v>4.9939983E-2</v>
      </c>
      <c r="X91" s="8">
        <f t="shared" si="14"/>
        <v>8.6748980840405908E-10</v>
      </c>
      <c r="Y91" s="8">
        <v>0.117039748</v>
      </c>
      <c r="Z91" s="8">
        <f t="shared" si="15"/>
        <v>1.4639821606845229E-5</v>
      </c>
      <c r="AA91" s="8">
        <v>0.17939159700000001</v>
      </c>
      <c r="AB91" s="8">
        <f t="shared" si="16"/>
        <v>2.2439051883870016E-5</v>
      </c>
      <c r="AC91" s="8">
        <v>10.874869410000001</v>
      </c>
      <c r="AD91" s="18">
        <f t="shared" si="17"/>
        <v>1.3602741878779357E-3</v>
      </c>
      <c r="AE91" s="9">
        <v>15.3</v>
      </c>
      <c r="AF91" s="10">
        <v>21.5</v>
      </c>
      <c r="AG91" s="10">
        <v>34.1</v>
      </c>
      <c r="AH91" s="10">
        <v>31.6</v>
      </c>
      <c r="AI91" s="10">
        <v>25.6</v>
      </c>
      <c r="AJ91" s="10">
        <v>50.2</v>
      </c>
      <c r="AK91" s="11">
        <v>7994.6157229999999</v>
      </c>
      <c r="AL91" s="11">
        <v>71.249050600000004</v>
      </c>
      <c r="AM91" s="11">
        <v>3188.4621160000002</v>
      </c>
      <c r="AN91" s="11">
        <v>3</v>
      </c>
      <c r="AO91" s="11">
        <v>68.501999999999995</v>
      </c>
      <c r="AP91" s="19">
        <v>3.9234187700000001</v>
      </c>
    </row>
    <row r="92" spans="2:42">
      <c r="B92" t="s">
        <v>170</v>
      </c>
      <c r="C92" t="s">
        <v>171</v>
      </c>
      <c r="D92" t="s">
        <v>172</v>
      </c>
      <c r="E92" t="s">
        <v>35</v>
      </c>
      <c r="F92" t="s">
        <v>36</v>
      </c>
      <c r="G92" t="s">
        <v>37</v>
      </c>
      <c r="H92" t="s">
        <v>38</v>
      </c>
      <c r="I92" t="s">
        <v>39</v>
      </c>
      <c r="J92" t="s">
        <v>40</v>
      </c>
      <c r="K92">
        <v>2009</v>
      </c>
      <c r="L92">
        <v>0.97282161939991796</v>
      </c>
      <c r="M92" s="7">
        <v>381.62237140000002</v>
      </c>
      <c r="N92" s="7">
        <f t="shared" si="9"/>
        <v>1.0896232489306499E-2</v>
      </c>
      <c r="O92" s="8">
        <v>31.904593640000002</v>
      </c>
      <c r="P92" s="8">
        <f t="shared" si="10"/>
        <v>9.1095254322474842E-4</v>
      </c>
      <c r="Q92" s="8">
        <v>0.65431766499999999</v>
      </c>
      <c r="R92" s="8">
        <f t="shared" si="11"/>
        <v>1.8682336084084629E-5</v>
      </c>
      <c r="S92" s="8">
        <v>6.5703218039999998</v>
      </c>
      <c r="T92" s="8">
        <f t="shared" si="12"/>
        <v>1.8759841998598219E-4</v>
      </c>
      <c r="U92" s="8">
        <v>6.1874920999999999E-2</v>
      </c>
      <c r="V92" s="8">
        <f t="shared" si="13"/>
        <v>1.7666771526001606E-6</v>
      </c>
      <c r="W92" s="8">
        <v>0.21357806100000001</v>
      </c>
      <c r="X92" s="8">
        <f t="shared" si="14"/>
        <v>5.0442862973827651E-11</v>
      </c>
      <c r="Y92" s="8">
        <v>7.1299262000000002E-2</v>
      </c>
      <c r="Z92" s="8">
        <f t="shared" si="15"/>
        <v>2.0357646545141096E-6</v>
      </c>
      <c r="AA92" s="8">
        <v>0.23238220900000001</v>
      </c>
      <c r="AB92" s="8">
        <f t="shared" si="16"/>
        <v>6.6350685007105775E-6</v>
      </c>
      <c r="AC92" s="8">
        <v>19.406594890000001</v>
      </c>
      <c r="AD92" s="18">
        <f t="shared" si="17"/>
        <v>5.5410475274675548E-4</v>
      </c>
      <c r="AE92" s="9">
        <v>91.9</v>
      </c>
      <c r="AF92" s="10">
        <v>90.9</v>
      </c>
      <c r="AG92" s="10">
        <v>48.3</v>
      </c>
      <c r="AH92" s="10">
        <v>94.7</v>
      </c>
      <c r="AI92" s="10">
        <v>94.3</v>
      </c>
      <c r="AJ92" s="10">
        <v>91.9</v>
      </c>
      <c r="AK92" s="11">
        <v>35023.332309999998</v>
      </c>
      <c r="AL92" s="11">
        <v>71.611623199999997</v>
      </c>
      <c r="AM92" s="11">
        <v>5644.5737680000002</v>
      </c>
      <c r="AN92" s="11">
        <v>3</v>
      </c>
      <c r="AO92" s="11">
        <v>81.031000000000006</v>
      </c>
      <c r="AP92" s="19">
        <v>0.60290398000000001</v>
      </c>
    </row>
    <row r="93" spans="2:42">
      <c r="B93" t="s">
        <v>173</v>
      </c>
      <c r="C93" t="s">
        <v>174</v>
      </c>
      <c r="D93" t="s">
        <v>175</v>
      </c>
      <c r="E93" t="s">
        <v>35</v>
      </c>
      <c r="F93" t="s">
        <v>36</v>
      </c>
      <c r="G93" t="s">
        <v>37</v>
      </c>
      <c r="H93" t="s">
        <v>38</v>
      </c>
      <c r="I93" t="s">
        <v>39</v>
      </c>
      <c r="J93" t="s">
        <v>40</v>
      </c>
      <c r="K93">
        <v>2009</v>
      </c>
      <c r="L93">
        <v>6.0200050186242401E-2</v>
      </c>
      <c r="M93" s="7">
        <v>17.843714469999998</v>
      </c>
      <c r="N93" s="7">
        <f t="shared" si="9"/>
        <v>6.2119884973298586E-3</v>
      </c>
      <c r="O93" s="8">
        <v>3.93030064</v>
      </c>
      <c r="P93" s="8">
        <f t="shared" si="10"/>
        <v>1.3682679359040531E-3</v>
      </c>
      <c r="Q93" s="8">
        <v>1.405806428</v>
      </c>
      <c r="R93" s="8">
        <f t="shared" si="11"/>
        <v>4.8940781779996596E-4</v>
      </c>
      <c r="S93" s="8">
        <v>3.0907119280000002</v>
      </c>
      <c r="T93" s="8">
        <f t="shared" si="12"/>
        <v>1.0759792742467142E-3</v>
      </c>
      <c r="U93" s="8">
        <v>4.6649435000000003E-2</v>
      </c>
      <c r="V93" s="8">
        <f t="shared" si="13"/>
        <v>1.6240214676946518E-5</v>
      </c>
      <c r="W93" s="14">
        <v>2.5149600000000001E-5</v>
      </c>
      <c r="X93" s="8">
        <f t="shared" si="14"/>
        <v>5.6537570659389358E-9</v>
      </c>
      <c r="Y93" s="8"/>
      <c r="Z93" s="8">
        <f t="shared" si="15"/>
        <v>0</v>
      </c>
      <c r="AA93" s="8">
        <v>6.8463220000000002E-3</v>
      </c>
      <c r="AB93" s="8">
        <f t="shared" si="16"/>
        <v>2.3834316327197068E-6</v>
      </c>
      <c r="AC93" s="8">
        <v>0.58642218499999998</v>
      </c>
      <c r="AD93" s="18">
        <f t="shared" si="17"/>
        <v>2.0415300154705079E-4</v>
      </c>
      <c r="AE93" s="9">
        <v>38.299999999999997</v>
      </c>
      <c r="AF93" s="10">
        <v>22.5</v>
      </c>
      <c r="AG93" s="10">
        <v>65.400000000000006</v>
      </c>
      <c r="AH93" s="10">
        <v>32.5</v>
      </c>
      <c r="AI93" s="10">
        <v>39.799999999999997</v>
      </c>
      <c r="AJ93" s="10">
        <v>37</v>
      </c>
      <c r="AK93" s="11">
        <v>2872.4641839999999</v>
      </c>
      <c r="AL93" s="11">
        <v>31.7276262</v>
      </c>
      <c r="AM93" s="11">
        <v>556.98912759999996</v>
      </c>
      <c r="AN93" s="11">
        <v>89.2</v>
      </c>
      <c r="AO93" s="11">
        <v>38.860999999999997</v>
      </c>
      <c r="AP93" s="19">
        <v>4.5327797800000003</v>
      </c>
    </row>
    <row r="94" spans="2:42"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 t="s">
        <v>37</v>
      </c>
      <c r="H94" t="s">
        <v>38</v>
      </c>
      <c r="I94" t="s">
        <v>39</v>
      </c>
      <c r="J94" t="s">
        <v>40</v>
      </c>
      <c r="K94">
        <v>2010</v>
      </c>
      <c r="L94">
        <v>0.72812916939583705</v>
      </c>
      <c r="M94" s="7">
        <v>604.60403329999997</v>
      </c>
      <c r="N94" s="7">
        <f t="shared" si="9"/>
        <v>1.5355861117713164E-2</v>
      </c>
      <c r="O94" s="8">
        <v>75.990200290000004</v>
      </c>
      <c r="P94" s="8">
        <f t="shared" si="10"/>
        <v>1.9300151796728788E-3</v>
      </c>
      <c r="Q94" s="8">
        <v>0.51338260199999997</v>
      </c>
      <c r="R94" s="8">
        <f t="shared" si="11"/>
        <v>1.3038999911286585E-5</v>
      </c>
      <c r="S94" s="8">
        <v>50.5618573</v>
      </c>
      <c r="T94" s="8">
        <f t="shared" si="12"/>
        <v>1.284180746057275E-3</v>
      </c>
      <c r="U94" s="8">
        <v>0.15432604699999999</v>
      </c>
      <c r="V94" s="8">
        <f t="shared" si="13"/>
        <v>3.919605583249215E-6</v>
      </c>
      <c r="W94" s="8">
        <v>0.104902235</v>
      </c>
      <c r="X94" s="8">
        <f t="shared" si="14"/>
        <v>9.9550971640182159E-11</v>
      </c>
      <c r="Y94" s="8">
        <v>3.0236829E-2</v>
      </c>
      <c r="Z94" s="8">
        <f t="shared" si="15"/>
        <v>7.6796137834173764E-7</v>
      </c>
      <c r="AA94" s="8">
        <v>0.29259716899999999</v>
      </c>
      <c r="AB94" s="8">
        <f t="shared" si="16"/>
        <v>7.4314447855669766E-6</v>
      </c>
      <c r="AC94" s="8">
        <v>15.041761129999999</v>
      </c>
      <c r="AD94" s="18">
        <f t="shared" si="17"/>
        <v>3.8203383066663416E-4</v>
      </c>
      <c r="AE94" s="9">
        <v>95.2</v>
      </c>
      <c r="AF94" s="10">
        <v>94.7</v>
      </c>
      <c r="AG94" s="10">
        <v>78.2</v>
      </c>
      <c r="AH94" s="10">
        <v>96.7</v>
      </c>
      <c r="AI94" s="10">
        <v>94.8</v>
      </c>
      <c r="AJ94" s="10">
        <v>94.8</v>
      </c>
      <c r="AK94" s="11">
        <v>39372.8511</v>
      </c>
      <c r="AL94" s="11">
        <v>48.9920987</v>
      </c>
      <c r="AM94" s="11">
        <v>10810.716350000001</v>
      </c>
      <c r="AN94" s="11">
        <v>8.1999999999999993</v>
      </c>
      <c r="AO94" s="11">
        <v>85.182000000000002</v>
      </c>
      <c r="AP94" s="19">
        <v>3.0948394299999999</v>
      </c>
    </row>
    <row r="95" spans="2:42">
      <c r="B95" t="s">
        <v>41</v>
      </c>
      <c r="C95" t="s">
        <v>42</v>
      </c>
      <c r="D95" t="s">
        <v>43</v>
      </c>
      <c r="E95" t="s">
        <v>35</v>
      </c>
      <c r="F95" t="s">
        <v>36</v>
      </c>
      <c r="G95" t="s">
        <v>37</v>
      </c>
      <c r="H95" t="s">
        <v>38</v>
      </c>
      <c r="I95" t="s">
        <v>39</v>
      </c>
      <c r="J95" t="s">
        <v>40</v>
      </c>
      <c r="K95">
        <v>2010</v>
      </c>
      <c r="L95">
        <v>0.57233844525418698</v>
      </c>
      <c r="M95" s="7">
        <v>88.933580090000007</v>
      </c>
      <c r="N95" s="7">
        <f t="shared" si="9"/>
        <v>2.1306501014779671E-3</v>
      </c>
      <c r="O95" s="8">
        <v>5.5451018430000003</v>
      </c>
      <c r="P95" s="8">
        <f t="shared" si="10"/>
        <v>1.3284826487966939E-4</v>
      </c>
      <c r="Q95" s="8">
        <v>0.75328673499999999</v>
      </c>
      <c r="R95" s="8">
        <f t="shared" si="11"/>
        <v>1.8047069023258932E-5</v>
      </c>
      <c r="S95" s="8">
        <v>0.78841086400000004</v>
      </c>
      <c r="T95" s="8">
        <f t="shared" si="12"/>
        <v>1.8888564765839414E-5</v>
      </c>
      <c r="U95" s="8">
        <v>6.1867336000000002E-2</v>
      </c>
      <c r="V95" s="8">
        <f t="shared" si="13"/>
        <v>1.4822032981599658E-6</v>
      </c>
      <c r="W95" s="8">
        <v>8.3451610999999995E-2</v>
      </c>
      <c r="X95" s="8">
        <f t="shared" si="14"/>
        <v>3.551028311735098E-11</v>
      </c>
      <c r="Y95" s="8">
        <v>1.7723604E-2</v>
      </c>
      <c r="Z95" s="8">
        <f t="shared" si="15"/>
        <v>4.2461799719453196E-7</v>
      </c>
      <c r="AA95" s="8">
        <v>3.5475117E-2</v>
      </c>
      <c r="AB95" s="8">
        <f t="shared" si="16"/>
        <v>8.4990463174316529E-7</v>
      </c>
      <c r="AC95" s="8">
        <v>2.5022566510000002</v>
      </c>
      <c r="AD95" s="18">
        <f t="shared" si="17"/>
        <v>5.9948484947774553E-5</v>
      </c>
      <c r="AE95" s="9">
        <v>91.9</v>
      </c>
      <c r="AF95" s="10">
        <v>97.1</v>
      </c>
      <c r="AG95" s="10">
        <v>89.1</v>
      </c>
      <c r="AH95" s="10">
        <v>92.3</v>
      </c>
      <c r="AI95" s="10">
        <v>96.7</v>
      </c>
      <c r="AJ95" s="10">
        <v>95.3</v>
      </c>
      <c r="AK95" s="11">
        <v>41740.11492</v>
      </c>
      <c r="AL95" s="11">
        <v>33.679108100000001</v>
      </c>
      <c r="AM95" s="11">
        <v>8395.3854200000005</v>
      </c>
      <c r="AN95" s="11">
        <v>31.1</v>
      </c>
      <c r="AO95" s="11">
        <v>57.399000000000001</v>
      </c>
      <c r="AP95" s="19">
        <v>-5.6453967</v>
      </c>
    </row>
    <row r="96" spans="2:42">
      <c r="B96" t="s">
        <v>44</v>
      </c>
      <c r="C96" t="s">
        <v>45</v>
      </c>
      <c r="D96" t="s">
        <v>46</v>
      </c>
      <c r="E96" t="s">
        <v>35</v>
      </c>
      <c r="F96" t="s">
        <v>36</v>
      </c>
      <c r="G96" t="s">
        <v>37</v>
      </c>
      <c r="H96" t="s">
        <v>38</v>
      </c>
      <c r="I96" t="s">
        <v>39</v>
      </c>
      <c r="J96" t="s">
        <v>40</v>
      </c>
      <c r="K96">
        <v>2010</v>
      </c>
      <c r="L96">
        <v>2.68456375838926E-2</v>
      </c>
      <c r="M96" s="7">
        <v>44.944501680000002</v>
      </c>
      <c r="N96" s="7">
        <f t="shared" si="9"/>
        <v>3.0102657321327431E-3</v>
      </c>
      <c r="O96" s="8">
        <v>7.4513449190000003</v>
      </c>
      <c r="P96" s="8">
        <f t="shared" si="10"/>
        <v>4.9907168684770547E-4</v>
      </c>
      <c r="Q96" s="8">
        <v>4.8571037999999997E-2</v>
      </c>
      <c r="R96" s="8">
        <f t="shared" si="11"/>
        <v>3.2531616949839387E-6</v>
      </c>
      <c r="S96" s="8">
        <v>5.3989938879999997</v>
      </c>
      <c r="T96" s="8">
        <f t="shared" si="12"/>
        <v>3.6161055705447362E-4</v>
      </c>
      <c r="U96" s="8">
        <v>8.8957499999999998E-4</v>
      </c>
      <c r="V96" s="8">
        <f t="shared" si="13"/>
        <v>5.9581417939129437E-8</v>
      </c>
      <c r="W96" s="8">
        <v>8.0137660000000003E-3</v>
      </c>
      <c r="X96" s="8">
        <f t="shared" si="14"/>
        <v>3.9906082833231765E-12</v>
      </c>
      <c r="Y96" s="8">
        <v>5.0472099999999997E-4</v>
      </c>
      <c r="Z96" s="8">
        <f t="shared" si="15"/>
        <v>3.3804898792856526E-8</v>
      </c>
      <c r="AA96" s="8">
        <v>3.1919397000000002E-2</v>
      </c>
      <c r="AB96" s="8">
        <f t="shared" si="16"/>
        <v>2.137878124972031E-6</v>
      </c>
      <c r="AC96" s="8">
        <v>2.46771217</v>
      </c>
      <c r="AD96" s="18">
        <f t="shared" si="17"/>
        <v>1.6528093769973979E-4</v>
      </c>
      <c r="AE96" s="9">
        <v>6.7</v>
      </c>
      <c r="AF96" s="10">
        <v>24.4</v>
      </c>
      <c r="AG96" s="10">
        <v>36.5</v>
      </c>
      <c r="AH96" s="10">
        <v>38.299999999999997</v>
      </c>
      <c r="AI96" s="10">
        <v>21.3</v>
      </c>
      <c r="AJ96" s="10">
        <v>12.8</v>
      </c>
      <c r="AK96" s="11">
        <v>14930.410029999999</v>
      </c>
      <c r="AL96" s="11">
        <v>57.6703446</v>
      </c>
      <c r="AM96" s="11">
        <v>1603.431374</v>
      </c>
      <c r="AN96" s="11">
        <v>4.4000000000000004</v>
      </c>
      <c r="AO96" s="11">
        <v>53.405999999999999</v>
      </c>
      <c r="AP96" s="19">
        <v>6.33725513</v>
      </c>
    </row>
    <row r="97" spans="2:42">
      <c r="B97" t="s">
        <v>47</v>
      </c>
      <c r="C97" t="s">
        <v>48</v>
      </c>
      <c r="D97" t="s">
        <v>49</v>
      </c>
      <c r="E97" t="s">
        <v>35</v>
      </c>
      <c r="F97" t="s">
        <v>36</v>
      </c>
      <c r="G97" t="s">
        <v>37</v>
      </c>
      <c r="H97" t="s">
        <v>38</v>
      </c>
      <c r="I97" t="s">
        <v>39</v>
      </c>
      <c r="J97" t="s">
        <v>40</v>
      </c>
      <c r="K97">
        <v>2010</v>
      </c>
      <c r="L97">
        <v>1.2230820069394699</v>
      </c>
      <c r="M97" s="7">
        <v>2.7111488E-2</v>
      </c>
      <c r="N97" s="7">
        <f t="shared" si="9"/>
        <v>6.8043399570426612E-7</v>
      </c>
      <c r="O97" s="8">
        <v>7.4025583690000003</v>
      </c>
      <c r="P97" s="8">
        <f t="shared" si="10"/>
        <v>1.8578664400318882E-4</v>
      </c>
      <c r="Q97" s="8">
        <v>0.34669903000000002</v>
      </c>
      <c r="R97" s="8">
        <f t="shared" si="11"/>
        <v>8.7013227119696739E-6</v>
      </c>
      <c r="S97" s="8">
        <v>2.4519094539999999</v>
      </c>
      <c r="T97" s="8">
        <f t="shared" si="12"/>
        <v>6.1537107328461118E-5</v>
      </c>
      <c r="U97" s="8">
        <v>4.4732016999999999E-2</v>
      </c>
      <c r="V97" s="8">
        <f t="shared" si="13"/>
        <v>1.1226674486926412E-6</v>
      </c>
      <c r="W97" s="8">
        <v>7.4621016999999998E-2</v>
      </c>
      <c r="X97" s="8">
        <f t="shared" si="14"/>
        <v>2.8176288146229673E-11</v>
      </c>
      <c r="Y97" s="8">
        <v>6.4565294999999995E-2</v>
      </c>
      <c r="Z97" s="8">
        <f t="shared" si="15"/>
        <v>1.6204356492965149E-6</v>
      </c>
      <c r="AA97" s="8">
        <v>3.7157284999999998E-2</v>
      </c>
      <c r="AB97" s="8">
        <f t="shared" si="16"/>
        <v>9.3255965523073437E-7</v>
      </c>
      <c r="AC97" s="8">
        <v>2.6022504729999998</v>
      </c>
      <c r="AD97" s="18">
        <f t="shared" si="17"/>
        <v>6.5310310048887995E-5</v>
      </c>
      <c r="AE97" s="9">
        <v>90</v>
      </c>
      <c r="AF97" s="10">
        <v>93.3</v>
      </c>
      <c r="AG97" s="10">
        <v>74.400000000000006</v>
      </c>
      <c r="AH97" s="10">
        <v>85.6</v>
      </c>
      <c r="AI97" s="10">
        <v>90</v>
      </c>
      <c r="AJ97" s="10">
        <v>94.3</v>
      </c>
      <c r="AK97" s="11">
        <v>39844.405440000002</v>
      </c>
      <c r="AL97" s="11">
        <v>44.693897700000001</v>
      </c>
      <c r="AM97" s="11">
        <v>8350.4457679999996</v>
      </c>
      <c r="AN97" s="11">
        <v>6.2</v>
      </c>
      <c r="AO97" s="11">
        <v>97.650999999999996</v>
      </c>
      <c r="AP97" s="19">
        <v>26.059640699999999</v>
      </c>
    </row>
    <row r="98" spans="2:42">
      <c r="B98" t="s">
        <v>50</v>
      </c>
      <c r="C98" t="s">
        <v>51</v>
      </c>
      <c r="D98" t="s">
        <v>52</v>
      </c>
      <c r="E98" t="s">
        <v>35</v>
      </c>
      <c r="F98" t="s">
        <v>36</v>
      </c>
      <c r="G98" t="s">
        <v>37</v>
      </c>
      <c r="H98" t="s">
        <v>38</v>
      </c>
      <c r="I98" t="s">
        <v>39</v>
      </c>
      <c r="J98" t="s">
        <v>40</v>
      </c>
      <c r="K98">
        <v>2010</v>
      </c>
      <c r="L98">
        <v>0.66509541956009099</v>
      </c>
      <c r="M98" s="7">
        <v>184.9204052</v>
      </c>
      <c r="N98" s="7">
        <f t="shared" si="9"/>
        <v>1.2364365239826191E-2</v>
      </c>
      <c r="O98" s="8">
        <v>2.1628669810000001</v>
      </c>
      <c r="P98" s="8">
        <f t="shared" si="10"/>
        <v>1.4461615141563735E-4</v>
      </c>
      <c r="Q98" s="8">
        <v>0.32544064299999997</v>
      </c>
      <c r="R98" s="8">
        <f t="shared" si="11"/>
        <v>2.1759994358566785E-5</v>
      </c>
      <c r="S98" s="8">
        <v>1.0462218190000001</v>
      </c>
      <c r="T98" s="8">
        <f t="shared" si="12"/>
        <v>6.995371158742913E-5</v>
      </c>
      <c r="U98" s="8">
        <v>1.0518049E-2</v>
      </c>
      <c r="V98" s="8">
        <f t="shared" si="13"/>
        <v>7.0327014104113923E-7</v>
      </c>
      <c r="W98" s="8">
        <v>8.8979330000000002E-3</v>
      </c>
      <c r="X98" s="8">
        <f t="shared" si="14"/>
        <v>4.7022873850466368E-11</v>
      </c>
      <c r="Y98" s="8">
        <v>7.3199210000000001E-3</v>
      </c>
      <c r="Z98" s="8">
        <f t="shared" si="15"/>
        <v>4.8943315191629145E-7</v>
      </c>
      <c r="AA98" s="8">
        <v>4.3270337999999998E-2</v>
      </c>
      <c r="AB98" s="8">
        <f t="shared" si="16"/>
        <v>2.8931921412571633E-6</v>
      </c>
      <c r="AC98" s="8">
        <v>6.0964963130000003</v>
      </c>
      <c r="AD98" s="18">
        <f t="shared" si="17"/>
        <v>4.0763109412214144E-4</v>
      </c>
      <c r="AE98" s="9">
        <v>51.9</v>
      </c>
      <c r="AF98" s="10">
        <v>54.5</v>
      </c>
      <c r="AG98" s="10">
        <v>57.8</v>
      </c>
      <c r="AH98" s="10">
        <v>73.7</v>
      </c>
      <c r="AI98" s="10">
        <v>51.7</v>
      </c>
      <c r="AJ98" s="10">
        <v>64.5</v>
      </c>
      <c r="AK98" s="11">
        <v>14955.915779999999</v>
      </c>
      <c r="AL98" s="11">
        <v>46.536477499999997</v>
      </c>
      <c r="AM98" s="11">
        <v>4560.4149170000001</v>
      </c>
      <c r="AN98" s="11">
        <v>14.3</v>
      </c>
      <c r="AO98" s="11">
        <v>72.302000000000007</v>
      </c>
      <c r="AP98" s="19">
        <v>3.6356963699999998</v>
      </c>
    </row>
    <row r="99" spans="2:42">
      <c r="B99" t="s">
        <v>53</v>
      </c>
      <c r="C99" t="s">
        <v>54</v>
      </c>
      <c r="D99" t="s">
        <v>55</v>
      </c>
      <c r="E99" t="s">
        <v>35</v>
      </c>
      <c r="F99" t="s">
        <v>36</v>
      </c>
      <c r="G99" t="s">
        <v>37</v>
      </c>
      <c r="H99" t="s">
        <v>38</v>
      </c>
      <c r="I99" t="s">
        <v>39</v>
      </c>
      <c r="J99" t="s">
        <v>40</v>
      </c>
      <c r="K99">
        <v>2010</v>
      </c>
      <c r="L99">
        <v>0.70376123617086705</v>
      </c>
      <c r="M99" s="7">
        <v>9.9064210490000004</v>
      </c>
      <c r="N99" s="7">
        <f t="shared" si="9"/>
        <v>2.4705367765327215E-4</v>
      </c>
      <c r="O99" s="8">
        <v>29.861743329999999</v>
      </c>
      <c r="P99" s="8">
        <f t="shared" si="10"/>
        <v>7.447143094689361E-4</v>
      </c>
      <c r="Q99" s="8">
        <v>0.96175174600000002</v>
      </c>
      <c r="R99" s="8">
        <f t="shared" si="11"/>
        <v>2.3984878561439758E-5</v>
      </c>
      <c r="S99" s="8">
        <v>69.326048630000003</v>
      </c>
      <c r="T99" s="8">
        <f t="shared" si="12"/>
        <v>1.728904433447233E-3</v>
      </c>
      <c r="U99" s="8">
        <v>0.28496177700000003</v>
      </c>
      <c r="V99" s="8">
        <f t="shared" si="13"/>
        <v>7.1065882068043345E-6</v>
      </c>
      <c r="W99" s="8">
        <v>0.13483820099999999</v>
      </c>
      <c r="X99" s="8">
        <f t="shared" si="14"/>
        <v>1.7722936905004785E-10</v>
      </c>
      <c r="Y99" s="8">
        <v>0.10893794800000001</v>
      </c>
      <c r="Z99" s="8">
        <f t="shared" si="15"/>
        <v>2.7167753678426276E-6</v>
      </c>
      <c r="AA99" s="8">
        <v>0.84518247199999996</v>
      </c>
      <c r="AB99" s="8">
        <f t="shared" si="16"/>
        <v>2.107778752415954E-5</v>
      </c>
      <c r="AC99" s="8">
        <v>18.877781949999999</v>
      </c>
      <c r="AD99" s="18">
        <f t="shared" si="17"/>
        <v>4.7078813161841601E-4</v>
      </c>
      <c r="AE99" s="9">
        <v>96.2</v>
      </c>
      <c r="AF99" s="10">
        <v>95.7</v>
      </c>
      <c r="AG99" s="10">
        <v>81</v>
      </c>
      <c r="AH99" s="10">
        <v>96.2</v>
      </c>
      <c r="AI99" s="10">
        <v>96.2</v>
      </c>
      <c r="AJ99" s="10">
        <v>93.8</v>
      </c>
      <c r="AK99" s="11">
        <v>40098.253720000001</v>
      </c>
      <c r="AL99" s="11">
        <v>6.5004087899999998</v>
      </c>
      <c r="AM99" s="11">
        <v>16223.507320000001</v>
      </c>
      <c r="AN99" s="11">
        <v>21.4</v>
      </c>
      <c r="AO99" s="11">
        <v>80.936999999999998</v>
      </c>
      <c r="AP99" s="19">
        <v>1.8372563900000001</v>
      </c>
    </row>
    <row r="100" spans="2:42">
      <c r="B100" t="s">
        <v>56</v>
      </c>
      <c r="C100" t="s">
        <v>57</v>
      </c>
      <c r="D100" t="s">
        <v>58</v>
      </c>
      <c r="E100" t="s">
        <v>35</v>
      </c>
      <c r="F100" t="s">
        <v>36</v>
      </c>
      <c r="G100" t="s">
        <v>37</v>
      </c>
      <c r="H100" t="s">
        <v>38</v>
      </c>
      <c r="I100" t="s">
        <v>39</v>
      </c>
      <c r="J100" t="s">
        <v>40</v>
      </c>
      <c r="K100">
        <v>2010</v>
      </c>
      <c r="L100">
        <v>7.5423476813638105E-2</v>
      </c>
      <c r="M100" s="7">
        <v>724.62505499999997</v>
      </c>
      <c r="N100" s="7">
        <f t="shared" si="9"/>
        <v>4.044141625715688E-2</v>
      </c>
      <c r="O100" s="8">
        <v>8.6842639449999997</v>
      </c>
      <c r="P100" s="8">
        <f t="shared" si="10"/>
        <v>4.8466987259606189E-4</v>
      </c>
      <c r="Q100" s="8">
        <v>1.1146134830000001</v>
      </c>
      <c r="R100" s="8">
        <f t="shared" si="11"/>
        <v>6.2206719904050876E-5</v>
      </c>
      <c r="S100" s="8">
        <v>1.80119819</v>
      </c>
      <c r="T100" s="8">
        <f t="shared" si="12"/>
        <v>1.0052509951291644E-4</v>
      </c>
      <c r="U100" s="8">
        <v>5.6003532000000002E-2</v>
      </c>
      <c r="V100" s="8">
        <f t="shared" si="13"/>
        <v>3.1255642264301858E-6</v>
      </c>
      <c r="W100" s="8">
        <v>2.8620722000000001E-2</v>
      </c>
      <c r="X100" s="8">
        <f t="shared" si="14"/>
        <v>1.7443813603649364E-10</v>
      </c>
      <c r="Y100" s="8">
        <v>5.4194473999999999E-2</v>
      </c>
      <c r="Z100" s="8">
        <f t="shared" si="15"/>
        <v>3.0246004699239471E-6</v>
      </c>
      <c r="AA100" s="8">
        <v>7.2010125999999994E-2</v>
      </c>
      <c r="AB100" s="8">
        <f t="shared" si="16"/>
        <v>4.0188942684245377E-6</v>
      </c>
      <c r="AC100" s="8">
        <v>9.5153349380000005</v>
      </c>
      <c r="AD100" s="18">
        <f t="shared" si="17"/>
        <v>5.3105205015844517E-4</v>
      </c>
      <c r="AE100" s="9">
        <v>89.5</v>
      </c>
      <c r="AF100" s="10">
        <v>83.3</v>
      </c>
      <c r="AG100" s="10">
        <v>68.2</v>
      </c>
      <c r="AH100" s="10">
        <v>90.4</v>
      </c>
      <c r="AI100" s="10">
        <v>87.7</v>
      </c>
      <c r="AJ100" s="10">
        <v>82.9</v>
      </c>
      <c r="AK100" s="11">
        <v>17917.895120000001</v>
      </c>
      <c r="AL100" s="11">
        <v>19.795279600000001</v>
      </c>
      <c r="AM100" s="11">
        <v>3284.062406</v>
      </c>
      <c r="AN100" s="11">
        <v>27</v>
      </c>
      <c r="AO100" s="11">
        <v>87.073999999999998</v>
      </c>
      <c r="AP100" s="19">
        <v>6.8414468700000004</v>
      </c>
    </row>
    <row r="101" spans="2:42">
      <c r="B101" t="s">
        <v>59</v>
      </c>
      <c r="C101" t="s">
        <v>60</v>
      </c>
      <c r="D101" t="s">
        <v>61</v>
      </c>
      <c r="E101" t="s">
        <v>35</v>
      </c>
      <c r="F101" t="s">
        <v>36</v>
      </c>
      <c r="G101" t="s">
        <v>37</v>
      </c>
      <c r="H101" t="s">
        <v>38</v>
      </c>
      <c r="I101" t="s">
        <v>39</v>
      </c>
      <c r="J101" t="s">
        <v>40</v>
      </c>
      <c r="K101">
        <v>2010</v>
      </c>
      <c r="L101">
        <v>7.8737775530291404E-2</v>
      </c>
      <c r="M101" s="7">
        <v>0.272759154</v>
      </c>
      <c r="N101" s="7">
        <f t="shared" si="9"/>
        <v>1.3540634692809711E-5</v>
      </c>
      <c r="O101" s="8">
        <v>1.4161813679999999</v>
      </c>
      <c r="P101" s="8">
        <f t="shared" si="10"/>
        <v>7.0303761694654311E-5</v>
      </c>
      <c r="Q101" s="8">
        <v>0.42775323500000001</v>
      </c>
      <c r="R101" s="8">
        <f t="shared" si="11"/>
        <v>2.1235035410773363E-5</v>
      </c>
      <c r="S101" s="8">
        <v>0.36608150499999997</v>
      </c>
      <c r="T101" s="8">
        <f t="shared" si="12"/>
        <v>1.8173453958575453E-5</v>
      </c>
      <c r="U101" s="8">
        <v>5.3739840000000001E-3</v>
      </c>
      <c r="V101" s="8">
        <f t="shared" si="13"/>
        <v>2.6678171244439443E-7</v>
      </c>
      <c r="W101" s="8">
        <v>3.6881850000000001E-3</v>
      </c>
      <c r="X101" s="8">
        <f t="shared" si="14"/>
        <v>1.324389542186273E-11</v>
      </c>
      <c r="Y101" s="8">
        <v>1.151341E-3</v>
      </c>
      <c r="Z101" s="8">
        <f t="shared" si="15"/>
        <v>5.7156240805227837E-8</v>
      </c>
      <c r="AA101" s="8">
        <v>1.6946774000000001E-2</v>
      </c>
      <c r="AB101" s="8">
        <f t="shared" si="16"/>
        <v>8.4129193315948472E-7</v>
      </c>
      <c r="AC101" s="8">
        <v>1.4370026929999999</v>
      </c>
      <c r="AD101" s="18">
        <f t="shared" si="17"/>
        <v>7.1337398701921411E-5</v>
      </c>
      <c r="AE101" s="9">
        <v>58.6</v>
      </c>
      <c r="AF101" s="10">
        <v>69.400000000000006</v>
      </c>
      <c r="AG101" s="10">
        <v>66.8</v>
      </c>
      <c r="AH101" s="10">
        <v>66.5</v>
      </c>
      <c r="AI101" s="10">
        <v>56.9</v>
      </c>
      <c r="AJ101" s="10">
        <v>61.6</v>
      </c>
      <c r="AK101" s="11">
        <v>20143.74955</v>
      </c>
      <c r="AL101" s="11">
        <v>23.833178499999999</v>
      </c>
      <c r="AM101" s="11">
        <v>3922.3108670000001</v>
      </c>
      <c r="AN101" s="11">
        <v>29.8</v>
      </c>
      <c r="AO101" s="11">
        <v>55.155000000000001</v>
      </c>
      <c r="AP101" s="19">
        <v>2.6195402799999998</v>
      </c>
    </row>
    <row r="102" spans="2:42">
      <c r="B102" t="s">
        <v>62</v>
      </c>
      <c r="C102" t="s">
        <v>63</v>
      </c>
      <c r="D102" t="s">
        <v>64</v>
      </c>
      <c r="E102" t="s">
        <v>35</v>
      </c>
      <c r="F102" t="s">
        <v>36</v>
      </c>
      <c r="G102" t="s">
        <v>37</v>
      </c>
      <c r="H102" t="s">
        <v>38</v>
      </c>
      <c r="I102" t="s">
        <v>39</v>
      </c>
      <c r="J102" t="s">
        <v>40</v>
      </c>
      <c r="K102">
        <v>2010</v>
      </c>
      <c r="L102">
        <v>0.30036373378396503</v>
      </c>
      <c r="M102" s="7">
        <v>9.4598640140000008</v>
      </c>
      <c r="N102" s="7">
        <f t="shared" si="9"/>
        <v>2.8233442072377377E-4</v>
      </c>
      <c r="O102" s="8">
        <v>0.36488958900000001</v>
      </c>
      <c r="P102" s="8">
        <f t="shared" si="10"/>
        <v>1.0890314129884584E-5</v>
      </c>
      <c r="Q102" s="8">
        <v>5.2304509999999997E-3</v>
      </c>
      <c r="R102" s="8">
        <f t="shared" si="11"/>
        <v>1.5610545257559799E-7</v>
      </c>
      <c r="S102" s="8">
        <v>3.0530449999999999E-3</v>
      </c>
      <c r="T102" s="8">
        <f t="shared" si="12"/>
        <v>9.1119670456460939E-8</v>
      </c>
      <c r="U102" s="8">
        <v>1.266164E-3</v>
      </c>
      <c r="V102" s="8">
        <f t="shared" si="13"/>
        <v>3.7789304259791264E-8</v>
      </c>
      <c r="W102" s="8">
        <v>2.2360940000000001E-3</v>
      </c>
      <c r="X102" s="8">
        <f t="shared" si="14"/>
        <v>1.1278408772000137E-12</v>
      </c>
      <c r="Y102" s="8"/>
      <c r="Z102" s="8">
        <f t="shared" si="15"/>
        <v>0</v>
      </c>
      <c r="AA102" s="8">
        <v>5.6045779999999998E-3</v>
      </c>
      <c r="AB102" s="8">
        <f t="shared" si="16"/>
        <v>1.6727146190361787E-7</v>
      </c>
      <c r="AC102" s="8">
        <v>0.66144670299999997</v>
      </c>
      <c r="AD102" s="18">
        <f t="shared" si="17"/>
        <v>1.9741211021086357E-5</v>
      </c>
      <c r="AE102" s="9">
        <v>80</v>
      </c>
      <c r="AF102" s="10">
        <v>91.4</v>
      </c>
      <c r="AG102" s="10">
        <v>61.6</v>
      </c>
      <c r="AH102" s="10">
        <v>90.9</v>
      </c>
      <c r="AI102" s="10">
        <v>87.2</v>
      </c>
      <c r="AJ102" s="10">
        <v>79.099999999999994</v>
      </c>
      <c r="AK102" s="11">
        <v>33505.882810000003</v>
      </c>
      <c r="AL102" s="11">
        <v>12.3917749</v>
      </c>
      <c r="AM102" s="11">
        <v>4523.7875679999997</v>
      </c>
      <c r="AN102" s="11">
        <v>6.5</v>
      </c>
      <c r="AO102" s="11">
        <v>67.551000000000002</v>
      </c>
      <c r="AP102" s="19">
        <v>125.272738</v>
      </c>
    </row>
    <row r="103" spans="2:42">
      <c r="B103" t="s">
        <v>65</v>
      </c>
      <c r="C103" t="s">
        <v>66</v>
      </c>
      <c r="D103" t="s">
        <v>67</v>
      </c>
      <c r="E103" t="s">
        <v>35</v>
      </c>
      <c r="F103" t="s">
        <v>36</v>
      </c>
      <c r="G103" t="s">
        <v>37</v>
      </c>
      <c r="H103" t="s">
        <v>38</v>
      </c>
      <c r="I103" t="s">
        <v>39</v>
      </c>
      <c r="J103" t="s">
        <v>40</v>
      </c>
      <c r="K103">
        <v>2010</v>
      </c>
      <c r="L103">
        <v>0.98838679947005503</v>
      </c>
      <c r="M103" s="7">
        <v>9.4598640140000008</v>
      </c>
      <c r="N103" s="7">
        <f t="shared" si="9"/>
        <v>3.3596863641809457E-4</v>
      </c>
      <c r="O103" s="8">
        <v>5.0035916980000001</v>
      </c>
      <c r="P103" s="8">
        <f t="shared" si="10"/>
        <v>1.7770338743581417E-4</v>
      </c>
      <c r="Q103" s="8">
        <v>0.91369293500000004</v>
      </c>
      <c r="R103" s="8">
        <f t="shared" si="11"/>
        <v>3.2449955836838384E-5</v>
      </c>
      <c r="S103" s="8">
        <v>3.9075026789999998</v>
      </c>
      <c r="T103" s="8">
        <f t="shared" si="12"/>
        <v>1.3877560448235013E-4</v>
      </c>
      <c r="U103" s="8">
        <v>3.1022786E-2</v>
      </c>
      <c r="V103" s="8">
        <f t="shared" si="13"/>
        <v>1.1017793802199949E-6</v>
      </c>
      <c r="W103" s="8">
        <v>3.7957548000000001E-2</v>
      </c>
      <c r="X103" s="8">
        <f t="shared" si="14"/>
        <v>3.9129877074159493E-11</v>
      </c>
      <c r="Y103" s="8">
        <v>1.4141162000000001E-2</v>
      </c>
      <c r="Z103" s="8">
        <f t="shared" si="15"/>
        <v>5.0222570932057954E-7</v>
      </c>
      <c r="AA103" s="8">
        <v>4.9115934999999999E-2</v>
      </c>
      <c r="AB103" s="8">
        <f t="shared" si="16"/>
        <v>1.7443605620470563E-6</v>
      </c>
      <c r="AC103" s="8">
        <v>5.1474019350000004</v>
      </c>
      <c r="AD103" s="18">
        <f t="shared" si="17"/>
        <v>1.828108318088357E-4</v>
      </c>
      <c r="AE103" s="9">
        <v>69</v>
      </c>
      <c r="AF103" s="10">
        <v>77</v>
      </c>
      <c r="AG103" s="10">
        <v>82.9</v>
      </c>
      <c r="AH103" s="10">
        <v>86.1</v>
      </c>
      <c r="AI103" s="10">
        <v>79.599999999999994</v>
      </c>
      <c r="AJ103" s="10">
        <v>78.7</v>
      </c>
      <c r="AK103" s="11">
        <v>28156.98547</v>
      </c>
      <c r="AL103" s="11">
        <v>45.628900700000003</v>
      </c>
      <c r="AM103" s="11">
        <v>6347.7561029999997</v>
      </c>
      <c r="AN103" s="11">
        <v>10.9</v>
      </c>
      <c r="AO103" s="11">
        <v>73.254999999999995</v>
      </c>
      <c r="AP103" s="19">
        <v>4.8150298600000001</v>
      </c>
    </row>
    <row r="104" spans="2:42">
      <c r="B104" t="s">
        <v>68</v>
      </c>
      <c r="C104" t="s">
        <v>69</v>
      </c>
      <c r="D104" t="s">
        <v>70</v>
      </c>
      <c r="E104" t="s">
        <v>35</v>
      </c>
      <c r="F104" t="s">
        <v>36</v>
      </c>
      <c r="G104" t="s">
        <v>37</v>
      </c>
      <c r="H104" t="s">
        <v>38</v>
      </c>
      <c r="I104" t="s">
        <v>39</v>
      </c>
      <c r="J104" t="s">
        <v>40</v>
      </c>
      <c r="K104">
        <v>2010</v>
      </c>
      <c r="L104">
        <v>0.41122607991712501</v>
      </c>
      <c r="M104" s="7">
        <v>724.62505499999997</v>
      </c>
      <c r="N104" s="7">
        <f t="shared" si="9"/>
        <v>1.6835147325344073E-2</v>
      </c>
      <c r="O104" s="8">
        <v>6.9335740650000002</v>
      </c>
      <c r="P104" s="8">
        <f t="shared" si="10"/>
        <v>1.6108708920568553E-4</v>
      </c>
      <c r="Q104" s="8">
        <v>0.38501201000000002</v>
      </c>
      <c r="R104" s="8">
        <f t="shared" si="11"/>
        <v>8.9449486539998892E-6</v>
      </c>
      <c r="S104" s="8">
        <v>0.41478847400000002</v>
      </c>
      <c r="T104" s="8">
        <f t="shared" si="12"/>
        <v>9.6367425062947203E-6</v>
      </c>
      <c r="U104" s="8">
        <v>1.1085141999999999E-2</v>
      </c>
      <c r="V104" s="8">
        <f t="shared" si="13"/>
        <v>2.5754008559966122E-7</v>
      </c>
      <c r="W104" s="8">
        <v>8.5028975000000007E-2</v>
      </c>
      <c r="X104" s="8">
        <f t="shared" si="14"/>
        <v>5.983405146337398E-12</v>
      </c>
      <c r="Y104" s="16">
        <v>1.5119999999999999E-8</v>
      </c>
      <c r="Z104" s="8">
        <f t="shared" si="15"/>
        <v>3.5128157079691698E-13</v>
      </c>
      <c r="AA104" s="8">
        <v>2.3485540999999999E-2</v>
      </c>
      <c r="AB104" s="8">
        <f t="shared" si="16"/>
        <v>5.4563741623646799E-7</v>
      </c>
      <c r="AC104" s="8">
        <v>1.307292527</v>
      </c>
      <c r="AD104" s="18">
        <f t="shared" si="17"/>
        <v>3.0372207167700465E-5</v>
      </c>
      <c r="AE104" s="9">
        <v>100</v>
      </c>
      <c r="AF104" s="10">
        <v>99</v>
      </c>
      <c r="AG104" s="10">
        <v>86.3</v>
      </c>
      <c r="AH104" s="10">
        <v>99.5</v>
      </c>
      <c r="AI104" s="10">
        <v>99.1</v>
      </c>
      <c r="AJ104" s="10">
        <v>97.6</v>
      </c>
      <c r="AK104" s="11">
        <v>43042.394639999999</v>
      </c>
      <c r="AL104" s="11">
        <v>65.650000000000006</v>
      </c>
      <c r="AM104" s="11">
        <v>6327.5064560000001</v>
      </c>
      <c r="AN104" s="11">
        <v>21.2</v>
      </c>
      <c r="AO104" s="11">
        <v>86.795000000000002</v>
      </c>
      <c r="AP104" s="19">
        <v>-3.5679414</v>
      </c>
    </row>
    <row r="105" spans="2:42">
      <c r="B105" t="s">
        <v>71</v>
      </c>
      <c r="C105" t="s">
        <v>72</v>
      </c>
      <c r="D105" t="s">
        <v>73</v>
      </c>
      <c r="E105" t="s">
        <v>35</v>
      </c>
      <c r="F105" t="s">
        <v>36</v>
      </c>
      <c r="G105" t="s">
        <v>37</v>
      </c>
      <c r="H105" t="s">
        <v>38</v>
      </c>
      <c r="I105" t="s">
        <v>39</v>
      </c>
      <c r="J105" t="s">
        <v>40</v>
      </c>
      <c r="K105">
        <v>2010</v>
      </c>
      <c r="L105">
        <v>0.19568599187692701</v>
      </c>
      <c r="M105" s="7">
        <v>292.11576150000002</v>
      </c>
      <c r="N105" s="7">
        <f t="shared" si="9"/>
        <v>4.6754122553635889E-2</v>
      </c>
      <c r="O105" s="8">
        <v>2.1735988079999999</v>
      </c>
      <c r="P105" s="8">
        <f t="shared" si="10"/>
        <v>3.4789189234374427E-4</v>
      </c>
      <c r="Q105" s="8">
        <v>0.13388445900000001</v>
      </c>
      <c r="R105" s="8">
        <f t="shared" si="11"/>
        <v>2.1428663663919551E-5</v>
      </c>
      <c r="S105" s="8">
        <v>2.9511363999999998E-2</v>
      </c>
      <c r="T105" s="8">
        <f t="shared" si="12"/>
        <v>4.723394321812239E-6</v>
      </c>
      <c r="U105" s="8">
        <v>6.6930699999999997E-3</v>
      </c>
      <c r="V105" s="8">
        <f t="shared" si="13"/>
        <v>1.0712486496216116E-6</v>
      </c>
      <c r="W105" s="8">
        <v>6.1793280000000004E-3</v>
      </c>
      <c r="X105" s="8">
        <f t="shared" si="14"/>
        <v>1.7145699496884486E-10</v>
      </c>
      <c r="Y105" s="8"/>
      <c r="Z105" s="8">
        <f t="shared" si="15"/>
        <v>0</v>
      </c>
      <c r="AA105" s="8">
        <v>1.4162930000000001E-2</v>
      </c>
      <c r="AB105" s="8">
        <f t="shared" si="16"/>
        <v>2.2668251844348577E-6</v>
      </c>
      <c r="AC105" s="8">
        <v>1.123473033</v>
      </c>
      <c r="AD105" s="18">
        <f t="shared" si="17"/>
        <v>1.7981568540110089E-4</v>
      </c>
      <c r="AE105" s="9">
        <v>49.5</v>
      </c>
      <c r="AF105" s="10">
        <v>56</v>
      </c>
      <c r="AG105" s="10">
        <v>48.3</v>
      </c>
      <c r="AH105" s="10">
        <v>62.7</v>
      </c>
      <c r="AI105" s="10">
        <v>22.7</v>
      </c>
      <c r="AJ105" s="10">
        <v>50.7</v>
      </c>
      <c r="AK105" s="11">
        <v>6247.9145269999999</v>
      </c>
      <c r="AL105" s="11">
        <v>59.358108100000003</v>
      </c>
      <c r="AM105" s="11">
        <v>873.39857019999999</v>
      </c>
      <c r="AN105" s="11">
        <v>32.6</v>
      </c>
      <c r="AO105" s="11">
        <v>65.451999999999998</v>
      </c>
      <c r="AP105" s="19">
        <v>-0.61340620000000001</v>
      </c>
    </row>
    <row r="106" spans="2:42">
      <c r="B106" t="s">
        <v>74</v>
      </c>
      <c r="C106" t="s">
        <v>75</v>
      </c>
      <c r="D106" t="s">
        <v>76</v>
      </c>
      <c r="E106" t="s">
        <v>35</v>
      </c>
      <c r="F106" t="s">
        <v>36</v>
      </c>
      <c r="G106" t="s">
        <v>37</v>
      </c>
      <c r="H106" t="s">
        <v>38</v>
      </c>
      <c r="I106" t="s">
        <v>39</v>
      </c>
      <c r="J106" t="s">
        <v>40</v>
      </c>
      <c r="K106">
        <v>2010</v>
      </c>
      <c r="L106">
        <v>-0.25846103750737698</v>
      </c>
      <c r="M106" s="7">
        <v>5.5326251610000003</v>
      </c>
      <c r="N106" s="7">
        <f t="shared" si="9"/>
        <v>2.5594202761150325E-4</v>
      </c>
      <c r="O106" s="8">
        <v>0.80007376699999999</v>
      </c>
      <c r="P106" s="8">
        <f t="shared" si="10"/>
        <v>3.7011815585883933E-5</v>
      </c>
      <c r="Q106" s="8">
        <v>0.16085350700000001</v>
      </c>
      <c r="R106" s="8">
        <f t="shared" si="11"/>
        <v>7.4411642813264375E-6</v>
      </c>
      <c r="S106" s="8">
        <v>4.0713626000000003E-2</v>
      </c>
      <c r="T106" s="8">
        <f t="shared" si="12"/>
        <v>1.8834328526917561E-6</v>
      </c>
      <c r="U106" s="8">
        <v>4.6791849999999998E-3</v>
      </c>
      <c r="V106" s="8">
        <f t="shared" si="13"/>
        <v>2.1646145575003497E-7</v>
      </c>
      <c r="W106" s="8">
        <v>2.0399481000000001E-2</v>
      </c>
      <c r="X106" s="8">
        <f t="shared" si="14"/>
        <v>1.001361600907516E-11</v>
      </c>
      <c r="Y106" s="8"/>
      <c r="Z106" s="8">
        <f t="shared" si="15"/>
        <v>0</v>
      </c>
      <c r="AA106" s="8">
        <v>3.7932090000000001E-3</v>
      </c>
      <c r="AB106" s="8">
        <f t="shared" si="16"/>
        <v>1.7547575958294756E-7</v>
      </c>
      <c r="AC106" s="8">
        <v>1.5883928759999999</v>
      </c>
      <c r="AD106" s="18">
        <f t="shared" si="17"/>
        <v>7.3479854769996231E-5</v>
      </c>
      <c r="AE106" s="9">
        <v>80.5</v>
      </c>
      <c r="AF106" s="10">
        <v>82.3</v>
      </c>
      <c r="AG106" s="10">
        <v>67.8</v>
      </c>
      <c r="AH106" s="10">
        <v>88.5</v>
      </c>
      <c r="AI106" s="10">
        <v>85.3</v>
      </c>
      <c r="AJ106" s="10">
        <v>83.4</v>
      </c>
      <c r="AK106" s="11">
        <v>21616.712240000001</v>
      </c>
      <c r="AL106" s="11">
        <v>22.3826374</v>
      </c>
      <c r="AM106" s="11">
        <v>6506.3181809999996</v>
      </c>
      <c r="AN106" s="11">
        <v>25.3</v>
      </c>
      <c r="AO106" s="11">
        <v>68.093999999999994</v>
      </c>
      <c r="AP106" s="19">
        <v>13.277032999999999</v>
      </c>
    </row>
    <row r="107" spans="2:42">
      <c r="B107" t="s">
        <v>77</v>
      </c>
      <c r="C107" t="s">
        <v>78</v>
      </c>
      <c r="D107" t="s">
        <v>79</v>
      </c>
      <c r="E107" t="s">
        <v>35</v>
      </c>
      <c r="F107" t="s">
        <v>36</v>
      </c>
      <c r="G107" t="s">
        <v>37</v>
      </c>
      <c r="H107" t="s">
        <v>38</v>
      </c>
      <c r="I107" t="s">
        <v>39</v>
      </c>
      <c r="J107" t="s">
        <v>40</v>
      </c>
      <c r="K107">
        <v>2010</v>
      </c>
      <c r="L107">
        <v>0.27638551527295702</v>
      </c>
      <c r="M107" s="7">
        <v>14.984948599999999</v>
      </c>
      <c r="N107" s="7">
        <f t="shared" si="9"/>
        <v>3.8471722744819729E-4</v>
      </c>
      <c r="O107" s="8">
        <v>2.655613255</v>
      </c>
      <c r="P107" s="8">
        <f t="shared" si="10"/>
        <v>6.817909062686292E-5</v>
      </c>
      <c r="Q107" s="8">
        <v>0.61950037000000002</v>
      </c>
      <c r="R107" s="8">
        <f t="shared" si="11"/>
        <v>1.5904790273990821E-5</v>
      </c>
      <c r="S107" s="8">
        <v>0.12921438699999999</v>
      </c>
      <c r="T107" s="8">
        <f t="shared" si="12"/>
        <v>3.3173954772896842E-6</v>
      </c>
      <c r="U107" s="8">
        <v>0.125056054</v>
      </c>
      <c r="V107" s="8">
        <f t="shared" si="13"/>
        <v>3.2106361960088433E-6</v>
      </c>
      <c r="W107" s="8">
        <v>0.13756037099999999</v>
      </c>
      <c r="X107" s="8">
        <f t="shared" si="14"/>
        <v>8.2428514681281528E-11</v>
      </c>
      <c r="Y107" s="8">
        <v>5.7320342000000003E-2</v>
      </c>
      <c r="Z107" s="8">
        <f t="shared" si="15"/>
        <v>1.4716181976508386E-6</v>
      </c>
      <c r="AA107" s="8">
        <v>3.2895196000000002E-2</v>
      </c>
      <c r="AB107" s="8">
        <f t="shared" si="16"/>
        <v>8.4453733805166546E-7</v>
      </c>
      <c r="AC107" s="8">
        <v>4.5660987999999998</v>
      </c>
      <c r="AD107" s="18">
        <f t="shared" si="17"/>
        <v>1.1722808782877912E-4</v>
      </c>
      <c r="AE107" s="9">
        <v>98.1</v>
      </c>
      <c r="AF107" s="10">
        <v>99.5</v>
      </c>
      <c r="AG107" s="10">
        <v>97.2</v>
      </c>
      <c r="AH107" s="10">
        <v>99</v>
      </c>
      <c r="AI107" s="10">
        <v>100</v>
      </c>
      <c r="AJ107" s="10">
        <v>96.7</v>
      </c>
      <c r="AK107" s="11">
        <v>38950.552589999999</v>
      </c>
      <c r="AL107" s="11">
        <v>7.5416255400000001</v>
      </c>
      <c r="AM107" s="11">
        <v>16484.840080000002</v>
      </c>
      <c r="AN107" s="11">
        <v>33.4</v>
      </c>
      <c r="AO107" s="11">
        <v>83.77</v>
      </c>
      <c r="AP107" s="19">
        <v>4.8995976299999997</v>
      </c>
    </row>
    <row r="108" spans="2:42">
      <c r="B108" t="s">
        <v>80</v>
      </c>
      <c r="C108" t="s">
        <v>81</v>
      </c>
      <c r="D108" t="s">
        <v>82</v>
      </c>
      <c r="E108" t="s">
        <v>35</v>
      </c>
      <c r="F108" t="s">
        <v>36</v>
      </c>
      <c r="G108" t="s">
        <v>37</v>
      </c>
      <c r="H108" t="s">
        <v>38</v>
      </c>
      <c r="I108" t="s">
        <v>39</v>
      </c>
      <c r="J108" t="s">
        <v>40</v>
      </c>
      <c r="K108">
        <v>2010</v>
      </c>
      <c r="L108">
        <v>0.99399134661695598</v>
      </c>
      <c r="M108" s="7">
        <v>0.16400221000000001</v>
      </c>
      <c r="N108" s="7">
        <f t="shared" si="9"/>
        <v>4.5668381910662865E-6</v>
      </c>
      <c r="O108" s="8">
        <v>49.187183820000001</v>
      </c>
      <c r="P108" s="8">
        <f t="shared" si="10"/>
        <v>1.3696761133900192E-3</v>
      </c>
      <c r="Q108" s="8">
        <v>2.9790998320000002</v>
      </c>
      <c r="R108" s="8">
        <f t="shared" si="11"/>
        <v>8.2956607034604952E-5</v>
      </c>
      <c r="S108" s="8">
        <v>3.3121435720000001</v>
      </c>
      <c r="T108" s="8">
        <f t="shared" si="12"/>
        <v>9.2230609324742087E-5</v>
      </c>
      <c r="U108" s="8">
        <v>0.10096912299999999</v>
      </c>
      <c r="V108" s="8">
        <f t="shared" si="13"/>
        <v>2.8116063011277065E-6</v>
      </c>
      <c r="W108" s="8">
        <v>0.16537616899999999</v>
      </c>
      <c r="X108" s="8">
        <f t="shared" si="14"/>
        <v>7.8292548827437316E-11</v>
      </c>
      <c r="Y108" s="8">
        <v>6.8760065999999995E-2</v>
      </c>
      <c r="Z108" s="8">
        <f t="shared" si="15"/>
        <v>1.9147064873640327E-6</v>
      </c>
      <c r="AA108" s="8">
        <v>0.19976517699999999</v>
      </c>
      <c r="AB108" s="8">
        <f t="shared" si="16"/>
        <v>5.5627008902423723E-6</v>
      </c>
      <c r="AC108" s="8">
        <v>22.907920130000001</v>
      </c>
      <c r="AD108" s="18">
        <f t="shared" si="17"/>
        <v>6.3789850470661452E-4</v>
      </c>
      <c r="AE108" s="9">
        <v>91</v>
      </c>
      <c r="AF108" s="10">
        <v>89</v>
      </c>
      <c r="AG108" s="10">
        <v>68.7</v>
      </c>
      <c r="AH108" s="10">
        <v>86.6</v>
      </c>
      <c r="AI108" s="10">
        <v>90.5</v>
      </c>
      <c r="AJ108" s="10">
        <v>90</v>
      </c>
      <c r="AK108" s="11">
        <v>35911.543859999998</v>
      </c>
      <c r="AL108" s="11">
        <v>52.827924799999998</v>
      </c>
      <c r="AM108" s="11">
        <v>7737.8028379999996</v>
      </c>
      <c r="AN108" s="11">
        <v>11.9</v>
      </c>
      <c r="AO108" s="11">
        <v>78.369</v>
      </c>
      <c r="AP108" s="19">
        <v>1.46961673</v>
      </c>
    </row>
    <row r="109" spans="2:42">
      <c r="B109" t="s">
        <v>83</v>
      </c>
      <c r="C109" t="s">
        <v>84</v>
      </c>
      <c r="D109" t="s">
        <v>85</v>
      </c>
      <c r="E109" t="s">
        <v>35</v>
      </c>
      <c r="F109" t="s">
        <v>36</v>
      </c>
      <c r="G109" t="s">
        <v>37</v>
      </c>
      <c r="H109" t="s">
        <v>38</v>
      </c>
      <c r="I109" t="s">
        <v>39</v>
      </c>
      <c r="J109" t="s">
        <v>40</v>
      </c>
      <c r="K109">
        <v>2010</v>
      </c>
      <c r="L109">
        <v>0.56824510985911303</v>
      </c>
      <c r="M109" s="7">
        <v>20.968142069999999</v>
      </c>
      <c r="N109" s="7">
        <f t="shared" si="9"/>
        <v>2.7189661914196707E-3</v>
      </c>
      <c r="O109" s="8">
        <v>2.3674865879999998</v>
      </c>
      <c r="P109" s="8">
        <f t="shared" si="10"/>
        <v>3.0699505802287379E-4</v>
      </c>
      <c r="Q109" s="8">
        <v>0.13081058700000001</v>
      </c>
      <c r="R109" s="8">
        <f t="shared" si="11"/>
        <v>1.6962378561982029E-5</v>
      </c>
      <c r="S109" s="8">
        <v>0.112769561</v>
      </c>
      <c r="T109" s="8">
        <f t="shared" si="12"/>
        <v>1.462297530971652E-5</v>
      </c>
      <c r="U109" s="8">
        <v>3.7622699999999997E-4</v>
      </c>
      <c r="V109" s="8">
        <f t="shared" si="13"/>
        <v>4.8785843299050505E-8</v>
      </c>
      <c r="W109" s="8">
        <v>4.8400500000000003E-4</v>
      </c>
      <c r="X109" s="8">
        <f t="shared" si="14"/>
        <v>6.3261236072889796E-12</v>
      </c>
      <c r="Y109" s="8">
        <v>6.2921319999999998E-3</v>
      </c>
      <c r="Z109" s="8">
        <f t="shared" si="15"/>
        <v>8.1590892139304527E-7</v>
      </c>
      <c r="AA109" s="8">
        <v>1.4102784E-2</v>
      </c>
      <c r="AB109" s="8">
        <f t="shared" si="16"/>
        <v>1.8287263016858351E-6</v>
      </c>
      <c r="AC109" s="8">
        <v>1.450137901</v>
      </c>
      <c r="AD109" s="18">
        <f t="shared" si="17"/>
        <v>1.8804126338673198E-4</v>
      </c>
      <c r="AE109" s="9">
        <v>57.6</v>
      </c>
      <c r="AF109" s="10">
        <v>65.099999999999994</v>
      </c>
      <c r="AG109" s="10">
        <v>24.2</v>
      </c>
      <c r="AH109" s="10">
        <v>69.400000000000006</v>
      </c>
      <c r="AI109" s="10">
        <v>48.8</v>
      </c>
      <c r="AJ109" s="10">
        <v>41.7</v>
      </c>
      <c r="AK109" s="11">
        <v>7711.8068389999999</v>
      </c>
      <c r="AL109" s="11">
        <v>35.400777099999999</v>
      </c>
      <c r="AM109" s="11">
        <v>2049.5445239999999</v>
      </c>
      <c r="AN109" s="11">
        <v>39.1</v>
      </c>
      <c r="AO109" s="11">
        <v>55.534999999999997</v>
      </c>
      <c r="AP109" s="19">
        <v>7.4106593099999998</v>
      </c>
    </row>
    <row r="110" spans="2:42">
      <c r="B110" t="s">
        <v>86</v>
      </c>
      <c r="C110" t="s">
        <v>87</v>
      </c>
      <c r="D110" t="s">
        <v>88</v>
      </c>
      <c r="E110" t="s">
        <v>35</v>
      </c>
      <c r="F110" t="s">
        <v>36</v>
      </c>
      <c r="G110" t="s">
        <v>37</v>
      </c>
      <c r="H110" t="s">
        <v>38</v>
      </c>
      <c r="I110" t="s">
        <v>39</v>
      </c>
      <c r="J110" t="s">
        <v>40</v>
      </c>
      <c r="K110">
        <v>2010</v>
      </c>
      <c r="L110">
        <v>0.56102792076119201</v>
      </c>
      <c r="M110" s="7">
        <v>11.99863403</v>
      </c>
      <c r="N110" s="7">
        <f t="shared" si="9"/>
        <v>3.0200065726398388E-4</v>
      </c>
      <c r="O110" s="8">
        <v>38.980786500000001</v>
      </c>
      <c r="P110" s="8">
        <f t="shared" si="10"/>
        <v>9.8113027818275979E-4</v>
      </c>
      <c r="Q110" s="8">
        <v>3.6855287919999999</v>
      </c>
      <c r="R110" s="8">
        <f t="shared" si="11"/>
        <v>9.2763235778876111E-5</v>
      </c>
      <c r="S110" s="8">
        <v>13.500271229999999</v>
      </c>
      <c r="T110" s="8">
        <f t="shared" si="12"/>
        <v>3.3979624468153329E-4</v>
      </c>
      <c r="U110" s="8">
        <v>0.2001194</v>
      </c>
      <c r="V110" s="8">
        <f t="shared" si="13"/>
        <v>5.036922551364298E-6</v>
      </c>
      <c r="W110" s="8">
        <v>0.42574742900000001</v>
      </c>
      <c r="X110" s="8">
        <f t="shared" si="14"/>
        <v>1.2677725791923337E-10</v>
      </c>
      <c r="Y110" s="8">
        <v>0.25148810799999999</v>
      </c>
      <c r="Z110" s="8">
        <f t="shared" si="15"/>
        <v>6.3298516914658956E-6</v>
      </c>
      <c r="AA110" s="8">
        <v>0.33443984799999998</v>
      </c>
      <c r="AB110" s="8">
        <f t="shared" si="16"/>
        <v>8.4177126878555904E-6</v>
      </c>
      <c r="AC110" s="8">
        <v>18.906518930000001</v>
      </c>
      <c r="AD110" s="18">
        <f t="shared" si="17"/>
        <v>4.7586926388102805E-4</v>
      </c>
      <c r="AE110" s="9">
        <v>93.3</v>
      </c>
      <c r="AF110" s="10">
        <v>90.4</v>
      </c>
      <c r="AG110" s="10">
        <v>73.5</v>
      </c>
      <c r="AH110" s="10">
        <v>93.8</v>
      </c>
      <c r="AI110" s="10">
        <v>92.9</v>
      </c>
      <c r="AJ110" s="10">
        <v>92.4</v>
      </c>
      <c r="AK110" s="11">
        <v>39730.48979</v>
      </c>
      <c r="AL110" s="11">
        <v>47.910032399999999</v>
      </c>
      <c r="AM110" s="11">
        <v>7265.9978799999999</v>
      </c>
      <c r="AN110" s="11">
        <v>11.6</v>
      </c>
      <c r="AO110" s="11">
        <v>76.965999999999994</v>
      </c>
      <c r="AP110" s="19">
        <v>2.4807864199999998</v>
      </c>
    </row>
    <row r="111" spans="2:42">
      <c r="B111" t="s">
        <v>89</v>
      </c>
      <c r="C111" t="s">
        <v>90</v>
      </c>
      <c r="D111" t="s">
        <v>91</v>
      </c>
      <c r="E111" t="s">
        <v>35</v>
      </c>
      <c r="F111" t="s">
        <v>36</v>
      </c>
      <c r="G111" t="s">
        <v>37</v>
      </c>
      <c r="H111" t="s">
        <v>38</v>
      </c>
      <c r="I111" t="s">
        <v>39</v>
      </c>
      <c r="J111" t="s">
        <v>40</v>
      </c>
      <c r="K111">
        <v>2010</v>
      </c>
      <c r="L111">
        <v>0.77992539844014896</v>
      </c>
      <c r="M111" s="7">
        <v>0.49468384500000001</v>
      </c>
      <c r="N111" s="7">
        <f t="shared" si="9"/>
        <v>1.7767629758937138E-5</v>
      </c>
      <c r="O111" s="8">
        <v>4.8974572060000003</v>
      </c>
      <c r="P111" s="8">
        <f t="shared" si="10"/>
        <v>1.7590266445116425E-4</v>
      </c>
      <c r="Q111" s="8">
        <v>0.224246324</v>
      </c>
      <c r="R111" s="8">
        <f t="shared" si="11"/>
        <v>8.0542869954337398E-6</v>
      </c>
      <c r="S111" s="8">
        <v>3.10827893</v>
      </c>
      <c r="T111" s="8">
        <f t="shared" si="12"/>
        <v>1.1164049478055078E-4</v>
      </c>
      <c r="U111" s="8">
        <v>1.6963826000000001E-2</v>
      </c>
      <c r="V111" s="8">
        <f t="shared" si="13"/>
        <v>6.0929214226316934E-7</v>
      </c>
      <c r="W111" s="8">
        <v>2.2339649999999999E-2</v>
      </c>
      <c r="X111" s="8">
        <f t="shared" si="14"/>
        <v>2.1884032212051819E-11</v>
      </c>
      <c r="Y111" s="8">
        <v>2.3172689999999998E-3</v>
      </c>
      <c r="Z111" s="8">
        <f t="shared" si="15"/>
        <v>8.3229679036440944E-8</v>
      </c>
      <c r="AA111" s="8">
        <v>8.7770768999999998E-2</v>
      </c>
      <c r="AB111" s="8">
        <f t="shared" si="16"/>
        <v>3.152475147534275E-6</v>
      </c>
      <c r="AC111" s="8">
        <v>5.2404098030000004</v>
      </c>
      <c r="AD111" s="18">
        <f t="shared" si="17"/>
        <v>1.8822054147494692E-4</v>
      </c>
      <c r="AE111" s="9">
        <v>55.7</v>
      </c>
      <c r="AF111" s="10">
        <v>68.900000000000006</v>
      </c>
      <c r="AG111" s="10">
        <v>40.799999999999997</v>
      </c>
      <c r="AH111" s="10">
        <v>71.3</v>
      </c>
      <c r="AI111" s="10">
        <v>66.8</v>
      </c>
      <c r="AJ111" s="10">
        <v>74.400000000000006</v>
      </c>
      <c r="AK111" s="11">
        <v>27841.85914</v>
      </c>
      <c r="AL111" s="11">
        <v>58.099301799999999</v>
      </c>
      <c r="AM111" s="11">
        <v>5334.6084790000004</v>
      </c>
      <c r="AN111" s="11">
        <v>11.4</v>
      </c>
      <c r="AO111" s="11">
        <v>76.292000000000002</v>
      </c>
      <c r="AP111" s="19">
        <v>0.17978922</v>
      </c>
    </row>
    <row r="112" spans="2:42">
      <c r="B112" t="s">
        <v>92</v>
      </c>
      <c r="C112" t="s">
        <v>93</v>
      </c>
      <c r="D112" t="s">
        <v>94</v>
      </c>
      <c r="E112" t="s">
        <v>35</v>
      </c>
      <c r="F112" t="s">
        <v>36</v>
      </c>
      <c r="G112" t="s">
        <v>37</v>
      </c>
      <c r="H112" t="s">
        <v>38</v>
      </c>
      <c r="I112" t="s">
        <v>39</v>
      </c>
      <c r="J112" t="s">
        <v>40</v>
      </c>
      <c r="K112">
        <v>2010</v>
      </c>
      <c r="L112">
        <v>0.57912010636036904</v>
      </c>
      <c r="M112" s="7">
        <v>20.968142069999999</v>
      </c>
      <c r="N112" s="7">
        <f t="shared" si="9"/>
        <v>9.6656771502875657E-4</v>
      </c>
      <c r="O112" s="8">
        <v>3.27822323</v>
      </c>
      <c r="P112" s="8">
        <f t="shared" si="10"/>
        <v>1.5111614210725779E-4</v>
      </c>
      <c r="Q112" s="8">
        <v>0.65101286199999997</v>
      </c>
      <c r="R112" s="8">
        <f t="shared" si="11"/>
        <v>3.0009717235651638E-5</v>
      </c>
      <c r="S112" s="8">
        <v>2.2709667379999998</v>
      </c>
      <c r="T112" s="8">
        <f t="shared" si="12"/>
        <v>1.046846746615433E-4</v>
      </c>
      <c r="U112" s="8">
        <v>7.2087740000000003E-3</v>
      </c>
      <c r="V112" s="8">
        <f t="shared" si="13"/>
        <v>3.323026041161648E-7</v>
      </c>
      <c r="W112" s="8">
        <v>3.6721099E-2</v>
      </c>
      <c r="X112" s="8">
        <f t="shared" si="14"/>
        <v>1.5318141573363868E-11</v>
      </c>
      <c r="Y112" s="8">
        <v>5.8431580000000002E-3</v>
      </c>
      <c r="Z112" s="8">
        <f t="shared" si="15"/>
        <v>2.6935185090588236E-7</v>
      </c>
      <c r="AA112" s="8">
        <v>2.6767421999999999E-2</v>
      </c>
      <c r="AB112" s="8">
        <f t="shared" si="16"/>
        <v>1.2338969200693932E-6</v>
      </c>
      <c r="AC112" s="8">
        <v>3.866388503</v>
      </c>
      <c r="AD112" s="18">
        <f t="shared" si="17"/>
        <v>1.7822877622071382E-4</v>
      </c>
      <c r="AE112" s="9">
        <v>65.7</v>
      </c>
      <c r="AF112" s="10">
        <v>71.8</v>
      </c>
      <c r="AG112" s="10">
        <v>69.2</v>
      </c>
      <c r="AH112" s="10">
        <v>80.400000000000006</v>
      </c>
      <c r="AI112" s="10">
        <v>72</v>
      </c>
      <c r="AJ112" s="10">
        <v>73.5</v>
      </c>
      <c r="AK112" s="11">
        <v>21693.40207</v>
      </c>
      <c r="AL112" s="11">
        <v>59.019109700000001</v>
      </c>
      <c r="AM112" s="11">
        <v>3876.4910839999998</v>
      </c>
      <c r="AN112" s="11">
        <v>13.5</v>
      </c>
      <c r="AO112" s="11">
        <v>68.911000000000001</v>
      </c>
      <c r="AP112" s="19">
        <v>-15.885438000000001</v>
      </c>
    </row>
    <row r="113" spans="2:42">
      <c r="B113" t="s">
        <v>95</v>
      </c>
      <c r="C113" t="s">
        <v>96</v>
      </c>
      <c r="D113" t="s">
        <v>97</v>
      </c>
      <c r="E113" t="s">
        <v>35</v>
      </c>
      <c r="F113" t="s">
        <v>36</v>
      </c>
      <c r="G113" t="s">
        <v>37</v>
      </c>
      <c r="H113" t="s">
        <v>38</v>
      </c>
      <c r="I113" t="s">
        <v>39</v>
      </c>
      <c r="J113" t="s">
        <v>40</v>
      </c>
      <c r="K113">
        <v>2010</v>
      </c>
      <c r="L113">
        <v>0.59615923825101302</v>
      </c>
      <c r="M113" s="7">
        <v>67.688986020000002</v>
      </c>
      <c r="N113" s="7">
        <f t="shared" si="9"/>
        <v>1.7020789660318427E-3</v>
      </c>
      <c r="O113" s="8">
        <v>0.31240918400000001</v>
      </c>
      <c r="P113" s="8">
        <f t="shared" si="10"/>
        <v>7.8557108349127501E-6</v>
      </c>
      <c r="Q113" s="8">
        <v>1.548109E-3</v>
      </c>
      <c r="R113" s="8">
        <f t="shared" si="11"/>
        <v>3.8928102206258904E-8</v>
      </c>
      <c r="S113" s="8"/>
      <c r="T113" s="8">
        <f t="shared" si="12"/>
        <v>0</v>
      </c>
      <c r="U113" s="8">
        <v>1.2232639999999999E-3</v>
      </c>
      <c r="V113" s="8">
        <f t="shared" si="13"/>
        <v>3.0759685537153449E-8</v>
      </c>
      <c r="W113" s="14">
        <v>3.0866199999999999E-5</v>
      </c>
      <c r="X113" s="8">
        <f t="shared" si="14"/>
        <v>7.7347020295256551E-13</v>
      </c>
      <c r="Y113" s="8">
        <v>3.518284E-3</v>
      </c>
      <c r="Z113" s="8">
        <f t="shared" si="15"/>
        <v>8.8469299734479549E-8</v>
      </c>
      <c r="AA113" s="8">
        <v>2.2810130000000001E-3</v>
      </c>
      <c r="AB113" s="8">
        <f t="shared" si="16"/>
        <v>5.7357400026616499E-8</v>
      </c>
      <c r="AC113" s="8">
        <v>0.26789450300000001</v>
      </c>
      <c r="AD113" s="18">
        <f t="shared" si="17"/>
        <v>6.7363632620693579E-6</v>
      </c>
      <c r="AE113" s="9">
        <v>94.3</v>
      </c>
      <c r="AF113" s="10">
        <v>92.3</v>
      </c>
      <c r="AG113" s="10">
        <v>85.3</v>
      </c>
      <c r="AH113" s="10">
        <v>78.5</v>
      </c>
      <c r="AI113" s="10">
        <v>93.4</v>
      </c>
      <c r="AJ113" s="10">
        <v>95.7</v>
      </c>
      <c r="AK113" s="11">
        <v>39768.416960000002</v>
      </c>
      <c r="AL113" s="11">
        <v>18.6932668</v>
      </c>
      <c r="AM113" s="11">
        <v>51439.908689999997</v>
      </c>
      <c r="AN113" s="11">
        <v>76</v>
      </c>
      <c r="AO113" s="11">
        <v>93.573999999999998</v>
      </c>
      <c r="AP113" s="19">
        <v>1.86880355</v>
      </c>
    </row>
    <row r="114" spans="2:42">
      <c r="B114" t="s">
        <v>98</v>
      </c>
      <c r="C114" t="s">
        <v>99</v>
      </c>
      <c r="D114" t="s">
        <v>100</v>
      </c>
      <c r="E114" t="s">
        <v>35</v>
      </c>
      <c r="F114" t="s">
        <v>36</v>
      </c>
      <c r="G114" t="s">
        <v>37</v>
      </c>
      <c r="H114" t="s">
        <v>38</v>
      </c>
      <c r="I114" t="s">
        <v>39</v>
      </c>
      <c r="J114" t="s">
        <v>40</v>
      </c>
      <c r="K114">
        <v>2010</v>
      </c>
      <c r="L114">
        <v>0.220625092482545</v>
      </c>
      <c r="M114" s="7">
        <v>2747.6177729999999</v>
      </c>
      <c r="N114" s="7">
        <f t="shared" si="9"/>
        <v>0.32891984998842244</v>
      </c>
      <c r="O114" s="8">
        <v>116.69510769999999</v>
      </c>
      <c r="P114" s="8">
        <f t="shared" si="10"/>
        <v>1.3969678641712148E-2</v>
      </c>
      <c r="Q114" s="8">
        <v>14.5264174</v>
      </c>
      <c r="R114" s="8">
        <f t="shared" si="11"/>
        <v>1.7389707837201448E-3</v>
      </c>
      <c r="S114" s="8">
        <v>95.302897189999996</v>
      </c>
      <c r="T114" s="8">
        <f t="shared" si="12"/>
        <v>1.1408797451826951E-2</v>
      </c>
      <c r="U114" s="8">
        <v>0.49003372000000001</v>
      </c>
      <c r="V114" s="8">
        <f t="shared" si="13"/>
        <v>5.8662387197940358E-5</v>
      </c>
      <c r="W114" s="8">
        <v>7.9380313999999993E-2</v>
      </c>
      <c r="X114" s="8">
        <f t="shared" si="14"/>
        <v>7.0225283104213255E-9</v>
      </c>
      <c r="Y114" s="8">
        <v>4.9872672999999999E-2</v>
      </c>
      <c r="Z114" s="8">
        <f t="shared" si="15"/>
        <v>5.9703035418098688E-6</v>
      </c>
      <c r="AA114" s="8">
        <v>0.70331375600000001</v>
      </c>
      <c r="AB114" s="8">
        <f t="shared" si="16"/>
        <v>8.4194336414460932E-5</v>
      </c>
      <c r="AC114" s="8">
        <v>37.000379359999997</v>
      </c>
      <c r="AD114" s="18">
        <f t="shared" si="17"/>
        <v>4.4293494343348467E-3</v>
      </c>
      <c r="AE114" s="9">
        <v>21.9</v>
      </c>
      <c r="AF114" s="10">
        <v>45</v>
      </c>
      <c r="AG114" s="10">
        <v>20.399999999999999</v>
      </c>
      <c r="AH114" s="10">
        <v>39.200000000000003</v>
      </c>
      <c r="AI114" s="10">
        <v>30.8</v>
      </c>
      <c r="AJ114" s="10">
        <v>48.3</v>
      </c>
      <c r="AK114" s="11">
        <v>8353.4568469999995</v>
      </c>
      <c r="AL114" s="11">
        <v>26.5994645</v>
      </c>
      <c r="AM114" s="11">
        <v>624.44042520000005</v>
      </c>
      <c r="AN114" s="11">
        <v>36</v>
      </c>
      <c r="AO114" s="11">
        <v>49.914000000000001</v>
      </c>
      <c r="AP114" s="19">
        <v>2.02517915</v>
      </c>
    </row>
    <row r="115" spans="2:42">
      <c r="B115" t="s">
        <v>101</v>
      </c>
      <c r="C115" t="s">
        <v>102</v>
      </c>
      <c r="D115" t="s">
        <v>103</v>
      </c>
      <c r="E115" t="s">
        <v>35</v>
      </c>
      <c r="F115" t="s">
        <v>36</v>
      </c>
      <c r="G115" t="s">
        <v>37</v>
      </c>
      <c r="H115" t="s">
        <v>38</v>
      </c>
      <c r="I115" t="s">
        <v>39</v>
      </c>
      <c r="J115" t="s">
        <v>40</v>
      </c>
      <c r="K115">
        <v>2010</v>
      </c>
      <c r="L115">
        <v>0.95652301185241795</v>
      </c>
      <c r="M115" s="7">
        <v>66.642634090000001</v>
      </c>
      <c r="N115" s="7">
        <f t="shared" si="9"/>
        <v>1.5420472878048474E-3</v>
      </c>
      <c r="O115" s="8">
        <v>15.11799385</v>
      </c>
      <c r="P115" s="8">
        <f t="shared" si="10"/>
        <v>3.4981602590857111E-4</v>
      </c>
      <c r="Q115" s="8">
        <v>0.218899756</v>
      </c>
      <c r="R115" s="8">
        <f t="shared" si="11"/>
        <v>5.06513254840859E-6</v>
      </c>
      <c r="S115" s="8">
        <v>1.1165583429999999</v>
      </c>
      <c r="T115" s="8">
        <f t="shared" si="12"/>
        <v>2.5836100088327472E-5</v>
      </c>
      <c r="U115" s="8">
        <v>9.4450049999999994E-3</v>
      </c>
      <c r="V115" s="8">
        <f t="shared" si="13"/>
        <v>2.1854844938877808E-7</v>
      </c>
      <c r="W115" s="8">
        <v>1.5674493000000001E-2</v>
      </c>
      <c r="X115" s="8">
        <f t="shared" si="14"/>
        <v>5.0570036469265285E-12</v>
      </c>
      <c r="Y115" s="8"/>
      <c r="Z115" s="8">
        <f t="shared" si="15"/>
        <v>0</v>
      </c>
      <c r="AA115" s="8">
        <v>2.1282168000000001E-2</v>
      </c>
      <c r="AB115" s="8">
        <f t="shared" si="16"/>
        <v>4.9244916397942332E-7</v>
      </c>
      <c r="AC115" s="8">
        <v>0.94125271200000005</v>
      </c>
      <c r="AD115" s="18">
        <f t="shared" si="17"/>
        <v>2.177969420774072E-5</v>
      </c>
      <c r="AE115" s="9">
        <v>92.9</v>
      </c>
      <c r="AF115" s="10">
        <v>87.1</v>
      </c>
      <c r="AG115" s="10">
        <v>84.8</v>
      </c>
      <c r="AH115" s="10">
        <v>94.3</v>
      </c>
      <c r="AI115" s="10">
        <v>95.3</v>
      </c>
      <c r="AJ115" s="10">
        <v>93.4</v>
      </c>
      <c r="AK115" s="11">
        <v>43216.984729999996</v>
      </c>
      <c r="AL115" s="11">
        <v>66.308607899999998</v>
      </c>
      <c r="AM115" s="11">
        <v>5860.5464069999998</v>
      </c>
      <c r="AN115" s="11">
        <v>5.3</v>
      </c>
      <c r="AO115" s="11">
        <v>61.542000000000002</v>
      </c>
      <c r="AP115" s="19">
        <v>17.0049101</v>
      </c>
    </row>
    <row r="116" spans="2:42">
      <c r="B116" t="s">
        <v>104</v>
      </c>
      <c r="C116" t="s">
        <v>105</v>
      </c>
      <c r="D116" t="s">
        <v>106</v>
      </c>
      <c r="E116" t="s">
        <v>35</v>
      </c>
      <c r="F116" t="s">
        <v>36</v>
      </c>
      <c r="G116" t="s">
        <v>37</v>
      </c>
      <c r="H116" t="s">
        <v>38</v>
      </c>
      <c r="I116" t="s">
        <v>39</v>
      </c>
      <c r="J116" t="s">
        <v>40</v>
      </c>
      <c r="K116">
        <v>2010</v>
      </c>
      <c r="L116">
        <v>0.60851920839131102</v>
      </c>
      <c r="M116" s="7">
        <v>4.972176621</v>
      </c>
      <c r="N116" s="7">
        <f t="shared" si="9"/>
        <v>1.6880115085812981E-4</v>
      </c>
      <c r="O116" s="8">
        <v>1.5074071</v>
      </c>
      <c r="P116" s="8">
        <f t="shared" si="10"/>
        <v>5.1175183966120004E-5</v>
      </c>
      <c r="Q116" s="8">
        <v>2.0240801999999999E-2</v>
      </c>
      <c r="R116" s="8">
        <f t="shared" si="11"/>
        <v>6.8715794556879139E-7</v>
      </c>
      <c r="S116" s="8">
        <v>0.18952076400000001</v>
      </c>
      <c r="T116" s="8">
        <f t="shared" si="12"/>
        <v>6.4340681180947166E-6</v>
      </c>
      <c r="U116" s="8">
        <v>3.3279289999999999E-3</v>
      </c>
      <c r="V116" s="8">
        <f t="shared" si="13"/>
        <v>1.1298034804346203E-7</v>
      </c>
      <c r="W116" s="8">
        <v>2.4113069000000001E-2</v>
      </c>
      <c r="X116" s="8">
        <f t="shared" si="14"/>
        <v>3.8355863493547536E-12</v>
      </c>
      <c r="Y116" s="8">
        <v>1.6816800000000001E-3</v>
      </c>
      <c r="Z116" s="8">
        <f t="shared" si="15"/>
        <v>5.7091600120594295E-8</v>
      </c>
      <c r="AA116" s="8">
        <v>5.3063618999999999E-2</v>
      </c>
      <c r="AB116" s="8">
        <f t="shared" si="16"/>
        <v>1.8014645574066227E-6</v>
      </c>
      <c r="AC116" s="8">
        <v>5.2111748200000001</v>
      </c>
      <c r="AD116" s="18">
        <f t="shared" si="17"/>
        <v>1.7691493564884515E-4</v>
      </c>
      <c r="AE116" s="9">
        <v>73.8</v>
      </c>
      <c r="AF116" s="10">
        <v>88</v>
      </c>
      <c r="AG116" s="10">
        <v>10.4</v>
      </c>
      <c r="AH116" s="10">
        <v>84.7</v>
      </c>
      <c r="AI116" s="10">
        <v>79.099999999999994</v>
      </c>
      <c r="AJ116" s="10">
        <v>66.8</v>
      </c>
      <c r="AK116" s="11">
        <v>29455.821810000001</v>
      </c>
      <c r="AL116" s="11">
        <v>23.3133087</v>
      </c>
      <c r="AM116" s="11">
        <v>6953.2766670000001</v>
      </c>
      <c r="AN116" s="11">
        <v>8.6</v>
      </c>
      <c r="AO116" s="11">
        <v>91.825999999999993</v>
      </c>
      <c r="AP116" s="19">
        <v>2.9141889499999998</v>
      </c>
    </row>
    <row r="117" spans="2:42">
      <c r="B117" t="s">
        <v>107</v>
      </c>
      <c r="C117" t="s">
        <v>108</v>
      </c>
      <c r="D117" t="s">
        <v>109</v>
      </c>
      <c r="E117" t="s">
        <v>35</v>
      </c>
      <c r="F117" t="s">
        <v>36</v>
      </c>
      <c r="G117" t="s">
        <v>37</v>
      </c>
      <c r="H117" t="s">
        <v>38</v>
      </c>
      <c r="I117" t="s">
        <v>39</v>
      </c>
      <c r="J117" t="s">
        <v>40</v>
      </c>
      <c r="K117">
        <v>2010</v>
      </c>
      <c r="L117">
        <v>0.83554741295579504</v>
      </c>
      <c r="M117" s="7">
        <v>83.052380729999996</v>
      </c>
      <c r="N117" s="7">
        <f t="shared" si="9"/>
        <v>2.3744180464975737E-3</v>
      </c>
      <c r="O117" s="8">
        <v>22.670649749999999</v>
      </c>
      <c r="P117" s="8">
        <f t="shared" si="10"/>
        <v>6.4814035936216693E-4</v>
      </c>
      <c r="Q117" s="8">
        <v>2.7130003669999998</v>
      </c>
      <c r="R117" s="8">
        <f t="shared" si="11"/>
        <v>7.7563062912083965E-5</v>
      </c>
      <c r="S117" s="8">
        <v>4.5760156790000002</v>
      </c>
      <c r="T117" s="8">
        <f t="shared" si="12"/>
        <v>1.3082555989088801E-4</v>
      </c>
      <c r="U117" s="8">
        <v>6.2530345000000001E-2</v>
      </c>
      <c r="V117" s="8">
        <f t="shared" si="13"/>
        <v>1.7877052808925461E-6</v>
      </c>
      <c r="W117" s="8">
        <v>0.22421087100000001</v>
      </c>
      <c r="X117" s="8">
        <f t="shared" si="14"/>
        <v>5.1109428091770439E-11</v>
      </c>
      <c r="Y117" s="8">
        <v>4.3228304000000002E-2</v>
      </c>
      <c r="Z117" s="8">
        <f t="shared" si="15"/>
        <v>1.2358714372170564E-6</v>
      </c>
      <c r="AA117" s="8">
        <v>0.40357188999999999</v>
      </c>
      <c r="AB117" s="8">
        <f t="shared" si="16"/>
        <v>1.1537879712206701E-5</v>
      </c>
      <c r="AC117" s="8">
        <v>19.933313139999999</v>
      </c>
      <c r="AD117" s="18">
        <f t="shared" si="17"/>
        <v>5.6988153777278502E-4</v>
      </c>
      <c r="AE117" s="9">
        <v>64.3</v>
      </c>
      <c r="AF117" s="10">
        <v>67.5</v>
      </c>
      <c r="AG117" s="10">
        <v>62.6</v>
      </c>
      <c r="AH117" s="10">
        <v>77.5</v>
      </c>
      <c r="AI117" s="10">
        <v>64</v>
      </c>
      <c r="AJ117" s="10">
        <v>75.8</v>
      </c>
      <c r="AK117" s="11">
        <v>34977.994229999997</v>
      </c>
      <c r="AL117" s="11">
        <v>48.450888999999997</v>
      </c>
      <c r="AM117" s="11">
        <v>5443.9356109999999</v>
      </c>
      <c r="AN117" s="11">
        <v>12.8</v>
      </c>
      <c r="AO117" s="11">
        <v>68.326999999999998</v>
      </c>
      <c r="AP117" s="19">
        <v>0.4629742</v>
      </c>
    </row>
    <row r="118" spans="2:42">
      <c r="B118" t="s">
        <v>110</v>
      </c>
      <c r="C118" t="s">
        <v>111</v>
      </c>
      <c r="D118" t="s">
        <v>112</v>
      </c>
      <c r="E118" t="s">
        <v>35</v>
      </c>
      <c r="F118" t="s">
        <v>36</v>
      </c>
      <c r="G118" t="s">
        <v>37</v>
      </c>
      <c r="H118" t="s">
        <v>38</v>
      </c>
      <c r="I118" t="s">
        <v>39</v>
      </c>
      <c r="J118" t="s">
        <v>40</v>
      </c>
      <c r="K118">
        <v>2010</v>
      </c>
      <c r="L118">
        <v>1.1421662704493101</v>
      </c>
      <c r="M118" s="7">
        <v>1.2958123589999999</v>
      </c>
      <c r="N118" s="7">
        <f t="shared" si="9"/>
        <v>3.6671817226816121E-5</v>
      </c>
      <c r="O118" s="8">
        <v>48.649336480000002</v>
      </c>
      <c r="P118" s="8">
        <f t="shared" si="10"/>
        <v>1.3767885166469833E-3</v>
      </c>
      <c r="Q118" s="8">
        <v>1.155238585</v>
      </c>
      <c r="R118" s="8">
        <f t="shared" si="11"/>
        <v>3.2693543897960063E-5</v>
      </c>
      <c r="S118" s="8">
        <v>4.4246815699999997</v>
      </c>
      <c r="T118" s="8">
        <f t="shared" si="12"/>
        <v>1.2521960660038882E-4</v>
      </c>
      <c r="U118" s="8">
        <v>0.36824722399999998</v>
      </c>
      <c r="V118" s="8">
        <f t="shared" si="13"/>
        <v>1.0421489499630876E-5</v>
      </c>
      <c r="W118" s="8">
        <v>0.49993296799999998</v>
      </c>
      <c r="X118" s="8">
        <f t="shared" si="14"/>
        <v>2.9493078647326509E-10</v>
      </c>
      <c r="Y118" s="8">
        <v>0.32828329000000001</v>
      </c>
      <c r="Z118" s="8">
        <f t="shared" si="15"/>
        <v>9.2905000680718725E-6</v>
      </c>
      <c r="AA118" s="8">
        <v>0.78711282400000004</v>
      </c>
      <c r="AB118" s="8">
        <f t="shared" si="16"/>
        <v>2.2275491831924321E-5</v>
      </c>
      <c r="AC118" s="8">
        <v>10.38839793</v>
      </c>
      <c r="AD118" s="18">
        <f t="shared" si="17"/>
        <v>2.9399428669008005E-4</v>
      </c>
      <c r="AE118" s="9">
        <v>91.4</v>
      </c>
      <c r="AF118" s="10">
        <v>90.9</v>
      </c>
      <c r="AG118" s="10">
        <v>77.7</v>
      </c>
      <c r="AH118" s="10">
        <v>80.900000000000006</v>
      </c>
      <c r="AI118" s="10">
        <v>88.2</v>
      </c>
      <c r="AJ118" s="10">
        <v>81</v>
      </c>
      <c r="AK118" s="11">
        <v>35335.373509999998</v>
      </c>
      <c r="AL118" s="11">
        <v>13.5884774</v>
      </c>
      <c r="AM118" s="11">
        <v>8774.2953070000003</v>
      </c>
      <c r="AN118" s="11">
        <v>4.7</v>
      </c>
      <c r="AO118" s="11">
        <v>90.811999999999998</v>
      </c>
      <c r="AP118" s="19">
        <v>0.12920449000000001</v>
      </c>
    </row>
    <row r="119" spans="2:42">
      <c r="B119" t="s">
        <v>113</v>
      </c>
      <c r="C119" t="s">
        <v>114</v>
      </c>
      <c r="D119" t="s">
        <v>115</v>
      </c>
      <c r="E119" t="s">
        <v>35</v>
      </c>
      <c r="F119" t="s">
        <v>36</v>
      </c>
      <c r="G119" t="s">
        <v>37</v>
      </c>
      <c r="H119" t="s">
        <v>38</v>
      </c>
      <c r="I119" t="s">
        <v>39</v>
      </c>
      <c r="J119" t="s">
        <v>40</v>
      </c>
      <c r="K119">
        <v>2010</v>
      </c>
      <c r="L119">
        <v>0.29596994911262903</v>
      </c>
      <c r="M119" s="7">
        <v>14.76516943</v>
      </c>
      <c r="N119" s="7">
        <f t="shared" si="9"/>
        <v>8.5133903111835171E-4</v>
      </c>
      <c r="O119" s="8">
        <v>1.1316632449999999</v>
      </c>
      <c r="P119" s="8">
        <f t="shared" si="10"/>
        <v>6.5250120909079854E-5</v>
      </c>
      <c r="Q119" s="8">
        <v>0.254333849</v>
      </c>
      <c r="R119" s="8">
        <f t="shared" si="11"/>
        <v>1.4664534234759618E-5</v>
      </c>
      <c r="S119" s="8">
        <v>0.135188326</v>
      </c>
      <c r="T119" s="8">
        <f t="shared" si="12"/>
        <v>7.7947699158472749E-6</v>
      </c>
      <c r="U119" s="8">
        <v>1.0075519999999999E-2</v>
      </c>
      <c r="V119" s="8">
        <f t="shared" si="13"/>
        <v>5.8094040000552661E-7</v>
      </c>
      <c r="W119" s="8">
        <v>8.9239939999999993E-3</v>
      </c>
      <c r="X119" s="8">
        <f t="shared" si="14"/>
        <v>3.3496211447010307E-11</v>
      </c>
      <c r="Y119" s="8">
        <v>1.2838000000000001E-3</v>
      </c>
      <c r="Z119" s="8">
        <f t="shared" si="15"/>
        <v>7.4022113551171074E-8</v>
      </c>
      <c r="AA119" s="8">
        <v>9.7323800000000005E-3</v>
      </c>
      <c r="AB119" s="8">
        <f t="shared" si="16"/>
        <v>5.611554272341069E-7</v>
      </c>
      <c r="AC119" s="8">
        <v>0.66283871299999997</v>
      </c>
      <c r="AD119" s="18">
        <f t="shared" si="17"/>
        <v>3.8218353699795986E-5</v>
      </c>
      <c r="AE119" s="9">
        <v>63.3</v>
      </c>
      <c r="AF119" s="10">
        <v>72.7</v>
      </c>
      <c r="AG119" s="10">
        <v>64.5</v>
      </c>
      <c r="AH119" s="10">
        <v>78.900000000000006</v>
      </c>
      <c r="AI119" s="10">
        <v>71.099999999999994</v>
      </c>
      <c r="AJ119" s="10">
        <v>72</v>
      </c>
      <c r="AK119" s="11">
        <v>17343.46587</v>
      </c>
      <c r="AL119" s="11">
        <v>29.0067013</v>
      </c>
      <c r="AM119" s="11">
        <v>3230.4278079999999</v>
      </c>
      <c r="AN119" s="11">
        <v>33.1</v>
      </c>
      <c r="AO119" s="11">
        <v>67.840999999999994</v>
      </c>
      <c r="AP119" s="19">
        <v>2.0239348100000001</v>
      </c>
    </row>
    <row r="120" spans="2:42">
      <c r="B120" t="s">
        <v>116</v>
      </c>
      <c r="C120" t="s">
        <v>117</v>
      </c>
      <c r="D120" t="s">
        <v>118</v>
      </c>
      <c r="E120" t="s">
        <v>35</v>
      </c>
      <c r="F120" t="s">
        <v>36</v>
      </c>
      <c r="G120" t="s">
        <v>37</v>
      </c>
      <c r="H120" t="s">
        <v>38</v>
      </c>
      <c r="I120" t="s">
        <v>39</v>
      </c>
      <c r="J120" t="s">
        <v>40</v>
      </c>
      <c r="K120">
        <v>2010</v>
      </c>
      <c r="L120">
        <v>1.3393034861364299</v>
      </c>
      <c r="M120" s="7">
        <v>106.0172299</v>
      </c>
      <c r="N120" s="7">
        <f t="shared" si="9"/>
        <v>5.3468581955195982E-3</v>
      </c>
      <c r="O120" s="8">
        <v>2.4588028290000001</v>
      </c>
      <c r="P120" s="8">
        <f t="shared" si="10"/>
        <v>1.2400691915650047E-4</v>
      </c>
      <c r="Q120" s="8">
        <v>0.241442713</v>
      </c>
      <c r="R120" s="8">
        <f t="shared" si="11"/>
        <v>1.2176888133846026E-5</v>
      </c>
      <c r="S120" s="8">
        <v>0.24693242800000001</v>
      </c>
      <c r="T120" s="8">
        <f t="shared" si="12"/>
        <v>1.2453755654969751E-5</v>
      </c>
      <c r="U120" s="8">
        <v>4.1125679999999996E-3</v>
      </c>
      <c r="V120" s="8">
        <f t="shared" si="13"/>
        <v>2.0741268127994768E-7</v>
      </c>
      <c r="W120" s="8">
        <v>1.0747819E-2</v>
      </c>
      <c r="X120" s="8">
        <f t="shared" si="14"/>
        <v>1.0460622257367456E-11</v>
      </c>
      <c r="Y120" s="8">
        <v>3.6064000000000001E-3</v>
      </c>
      <c r="Z120" s="8">
        <f t="shared" si="15"/>
        <v>1.8188467492039119E-7</v>
      </c>
      <c r="AA120" s="8">
        <v>1.9869451999999999E-2</v>
      </c>
      <c r="AB120" s="8">
        <f t="shared" si="16"/>
        <v>1.0020931726559219E-6</v>
      </c>
      <c r="AC120" s="8">
        <v>1.468857214</v>
      </c>
      <c r="AD120" s="18">
        <f t="shared" si="17"/>
        <v>7.4080139993584049E-5</v>
      </c>
      <c r="AE120" s="9">
        <v>68.599999999999994</v>
      </c>
      <c r="AF120" s="10">
        <v>73.7</v>
      </c>
      <c r="AG120" s="10">
        <v>70.599999999999994</v>
      </c>
      <c r="AH120" s="10">
        <v>79.400000000000006</v>
      </c>
      <c r="AI120" s="10">
        <v>73</v>
      </c>
      <c r="AJ120" s="10">
        <v>75.400000000000006</v>
      </c>
      <c r="AK120" s="11">
        <v>19827.948680000001</v>
      </c>
      <c r="AL120" s="11">
        <v>44.232947799999998</v>
      </c>
      <c r="AM120" s="11">
        <v>3470.78503</v>
      </c>
      <c r="AN120" s="11">
        <v>21.5</v>
      </c>
      <c r="AO120" s="11">
        <v>66.757000000000005</v>
      </c>
      <c r="AP120" s="19">
        <v>3.0096956100000001</v>
      </c>
    </row>
    <row r="121" spans="2:42">
      <c r="B121" t="s">
        <v>119</v>
      </c>
      <c r="C121" t="s">
        <v>120</v>
      </c>
      <c r="D121" t="s">
        <v>121</v>
      </c>
      <c r="E121" t="s">
        <v>35</v>
      </c>
      <c r="F121" t="s">
        <v>36</v>
      </c>
      <c r="G121" t="s">
        <v>37</v>
      </c>
      <c r="H121" t="s">
        <v>38</v>
      </c>
      <c r="I121" t="s">
        <v>39</v>
      </c>
      <c r="J121" t="s">
        <v>40</v>
      </c>
      <c r="K121">
        <v>2010</v>
      </c>
      <c r="L121">
        <v>0.79429611793588595</v>
      </c>
      <c r="M121" s="7">
        <v>12.59195418</v>
      </c>
      <c r="N121" s="7">
        <f t="shared" si="9"/>
        <v>1.3937467720586376E-4</v>
      </c>
      <c r="O121" s="8">
        <v>0.487450367</v>
      </c>
      <c r="P121" s="8">
        <f t="shared" si="10"/>
        <v>5.3953688667651126E-6</v>
      </c>
      <c r="Q121" s="8">
        <v>9.5747509999999994E-3</v>
      </c>
      <c r="R121" s="8">
        <f t="shared" si="11"/>
        <v>1.0597861228490597E-7</v>
      </c>
      <c r="S121" s="8">
        <v>2.3354353000000001E-2</v>
      </c>
      <c r="T121" s="8">
        <f t="shared" si="12"/>
        <v>2.5849882902979209E-7</v>
      </c>
      <c r="U121" s="8">
        <v>2.6557519999999999E-3</v>
      </c>
      <c r="V121" s="8">
        <f t="shared" si="13"/>
        <v>2.9395324383147261E-8</v>
      </c>
      <c r="W121" s="8">
        <v>3.1612799999999998E-3</v>
      </c>
      <c r="X121" s="8">
        <f t="shared" si="14"/>
        <v>3.253636241601068E-13</v>
      </c>
      <c r="Y121" s="8"/>
      <c r="Z121" s="8">
        <f t="shared" si="15"/>
        <v>0</v>
      </c>
      <c r="AA121" s="8">
        <v>7.362375E-3</v>
      </c>
      <c r="AB121" s="8">
        <f t="shared" si="16"/>
        <v>8.1490817423981544E-8</v>
      </c>
      <c r="AC121" s="8">
        <v>0.124572871</v>
      </c>
      <c r="AD121" s="18">
        <f t="shared" si="17"/>
        <v>1.3788410786793943E-6</v>
      </c>
      <c r="AE121" s="9">
        <v>95.7</v>
      </c>
      <c r="AF121" s="10">
        <v>94.3</v>
      </c>
      <c r="AG121" s="10">
        <v>99.1</v>
      </c>
      <c r="AH121" s="10">
        <v>95.7</v>
      </c>
      <c r="AI121" s="10">
        <v>97.6</v>
      </c>
      <c r="AJ121" s="10">
        <v>98.6</v>
      </c>
      <c r="AK121" s="11">
        <v>90346.068830000004</v>
      </c>
      <c r="AL121" s="11">
        <v>50.899994599999999</v>
      </c>
      <c r="AM121" s="11">
        <v>16808.264279999999</v>
      </c>
      <c r="AN121" s="11">
        <v>3.7</v>
      </c>
      <c r="AO121" s="11">
        <v>88.546999999999997</v>
      </c>
      <c r="AP121" s="19">
        <v>69.606394300000005</v>
      </c>
    </row>
    <row r="122" spans="2:42">
      <c r="B122" t="s">
        <v>122</v>
      </c>
      <c r="C122" t="s">
        <v>123</v>
      </c>
      <c r="D122" t="s">
        <v>124</v>
      </c>
      <c r="E122" t="s">
        <v>35</v>
      </c>
      <c r="F122" t="s">
        <v>36</v>
      </c>
      <c r="G122" t="s">
        <v>37</v>
      </c>
      <c r="H122" t="s">
        <v>38</v>
      </c>
      <c r="I122" t="s">
        <v>39</v>
      </c>
      <c r="J122" t="s">
        <v>40</v>
      </c>
      <c r="K122">
        <v>2010</v>
      </c>
      <c r="L122">
        <v>1.9146237186398001</v>
      </c>
      <c r="M122" s="7">
        <v>8.6210781E-2</v>
      </c>
      <c r="N122" s="7">
        <f t="shared" si="9"/>
        <v>2.9817959932385763E-6</v>
      </c>
      <c r="O122" s="8">
        <v>5.5671776999999999E-2</v>
      </c>
      <c r="P122" s="8">
        <f t="shared" si="10"/>
        <v>1.92553506266312E-6</v>
      </c>
      <c r="Q122" s="8">
        <v>6.6561300000000001E-4</v>
      </c>
      <c r="R122" s="8">
        <f t="shared" si="11"/>
        <v>2.3021739896400064E-8</v>
      </c>
      <c r="S122" s="13">
        <v>3.3855E-5</v>
      </c>
      <c r="T122" s="8">
        <f t="shared" si="12"/>
        <v>1.1709521962350858E-9</v>
      </c>
      <c r="U122" s="16">
        <v>2.9960000000000001E-5</v>
      </c>
      <c r="V122" s="8">
        <f t="shared" si="13"/>
        <v>1.0362347599823711E-9</v>
      </c>
      <c r="W122" s="8">
        <v>1.071177E-3</v>
      </c>
      <c r="X122" s="8">
        <f t="shared" si="14"/>
        <v>3.5840536642046797E-14</v>
      </c>
      <c r="Y122" s="8"/>
      <c r="Z122" s="8">
        <f t="shared" si="15"/>
        <v>0</v>
      </c>
      <c r="AA122" s="8">
        <v>1.6119929999999999E-3</v>
      </c>
      <c r="AB122" s="8">
        <f t="shared" si="16"/>
        <v>5.5754445241931308E-8</v>
      </c>
      <c r="AC122" s="8">
        <v>0.14237001499999999</v>
      </c>
      <c r="AD122" s="18">
        <f t="shared" si="17"/>
        <v>4.9241908652273542E-6</v>
      </c>
      <c r="AE122" s="9">
        <v>74.8</v>
      </c>
      <c r="AF122" s="10">
        <v>84.2</v>
      </c>
      <c r="AG122" s="10">
        <v>91.9</v>
      </c>
      <c r="AH122" s="10">
        <v>91.4</v>
      </c>
      <c r="AI122" s="10">
        <v>89.1</v>
      </c>
      <c r="AJ122" s="10">
        <v>88.6</v>
      </c>
      <c r="AK122" s="11">
        <v>28912.367310000001</v>
      </c>
      <c r="AL122" s="11">
        <v>32.28125</v>
      </c>
      <c r="AM122" s="11">
        <v>4692.3099190000003</v>
      </c>
      <c r="AN122" s="11">
        <v>1.2</v>
      </c>
      <c r="AO122" s="11">
        <v>94.072000000000003</v>
      </c>
      <c r="AP122" s="19">
        <v>101.626396</v>
      </c>
    </row>
    <row r="123" spans="2:42">
      <c r="B123" t="s">
        <v>125</v>
      </c>
      <c r="C123" t="s">
        <v>126</v>
      </c>
      <c r="D123" t="s">
        <v>127</v>
      </c>
      <c r="E123" t="s">
        <v>35</v>
      </c>
      <c r="F123" t="s">
        <v>36</v>
      </c>
      <c r="G123" t="s">
        <v>37</v>
      </c>
      <c r="H123" t="s">
        <v>38</v>
      </c>
      <c r="I123" t="s">
        <v>39</v>
      </c>
      <c r="J123" t="s">
        <v>40</v>
      </c>
      <c r="K123">
        <v>2010</v>
      </c>
      <c r="L123">
        <v>0.96000415642443604</v>
      </c>
      <c r="M123" s="7">
        <v>256.55719420000003</v>
      </c>
      <c r="N123" s="7">
        <f t="shared" si="9"/>
        <v>1.6121568834417534E-2</v>
      </c>
      <c r="O123" s="8">
        <v>3.3959956999999999E-2</v>
      </c>
      <c r="P123" s="8">
        <f t="shared" si="10"/>
        <v>2.1339794664364922E-6</v>
      </c>
      <c r="Q123" s="8">
        <v>2.616401E-3</v>
      </c>
      <c r="R123" s="8">
        <f t="shared" si="11"/>
        <v>1.6440969021144239E-7</v>
      </c>
      <c r="S123" s="8">
        <v>2.8644E-3</v>
      </c>
      <c r="T123" s="8">
        <f t="shared" si="12"/>
        <v>1.799934783091948E-7</v>
      </c>
      <c r="U123" s="8">
        <v>2.2168940000000001E-3</v>
      </c>
      <c r="V123" s="8">
        <f t="shared" si="13"/>
        <v>1.3930542595405116E-7</v>
      </c>
      <c r="W123" s="8">
        <v>7.500807E-3</v>
      </c>
      <c r="X123" s="8">
        <f t="shared" si="14"/>
        <v>8.7536894863893482E-12</v>
      </c>
      <c r="Y123" s="8"/>
      <c r="Z123" s="8">
        <f t="shared" si="15"/>
        <v>0</v>
      </c>
      <c r="AA123" s="8">
        <v>5.6105449999999998E-3</v>
      </c>
      <c r="AB123" s="8">
        <f t="shared" si="16"/>
        <v>3.52556036084437E-7</v>
      </c>
      <c r="AC123" s="8">
        <v>0.477214849</v>
      </c>
      <c r="AD123" s="18">
        <f t="shared" si="17"/>
        <v>2.9987278512884782E-5</v>
      </c>
      <c r="AE123" s="9">
        <v>71.400000000000006</v>
      </c>
      <c r="AF123" s="10">
        <v>77.5</v>
      </c>
      <c r="AG123" s="10">
        <v>67.3</v>
      </c>
      <c r="AH123" s="10">
        <v>75.599999999999994</v>
      </c>
      <c r="AI123" s="10">
        <v>78.2</v>
      </c>
      <c r="AJ123" s="10">
        <v>71.099999999999994</v>
      </c>
      <c r="AK123" s="11">
        <v>15913.90992</v>
      </c>
      <c r="AL123" s="11">
        <v>44.827586199999999</v>
      </c>
      <c r="AM123" s="11">
        <v>1995.361484</v>
      </c>
      <c r="AN123" s="11">
        <v>12.8</v>
      </c>
      <c r="AO123" s="11">
        <v>41.555</v>
      </c>
      <c r="AP123" s="19">
        <v>4.2978402999999998</v>
      </c>
    </row>
    <row r="124" spans="2:42">
      <c r="B124" t="s">
        <v>128</v>
      </c>
      <c r="C124" t="s">
        <v>129</v>
      </c>
      <c r="D124" t="s">
        <v>130</v>
      </c>
      <c r="E124" t="s">
        <v>35</v>
      </c>
      <c r="F124" t="s">
        <v>36</v>
      </c>
      <c r="G124" t="s">
        <v>37</v>
      </c>
      <c r="H124" t="s">
        <v>38</v>
      </c>
      <c r="I124" t="s">
        <v>39</v>
      </c>
      <c r="J124" t="s">
        <v>40</v>
      </c>
      <c r="K124">
        <v>2010</v>
      </c>
      <c r="L124">
        <v>0.14789851267249701</v>
      </c>
      <c r="M124" s="7">
        <v>256.55719420000003</v>
      </c>
      <c r="N124" s="7">
        <f t="shared" si="9"/>
        <v>4.0574828862143919E-2</v>
      </c>
      <c r="O124" s="8">
        <v>1.1148482319999999</v>
      </c>
      <c r="P124" s="8">
        <f t="shared" si="10"/>
        <v>1.7631458888422671E-4</v>
      </c>
      <c r="Q124" s="8">
        <v>0.196726229</v>
      </c>
      <c r="R124" s="8">
        <f t="shared" si="11"/>
        <v>3.1112489748182367E-5</v>
      </c>
      <c r="S124" s="8">
        <v>9.3885962000000003E-2</v>
      </c>
      <c r="T124" s="8">
        <f t="shared" si="12"/>
        <v>1.4848177820880405E-5</v>
      </c>
      <c r="U124" s="8">
        <v>7.8342099999999997E-4</v>
      </c>
      <c r="V124" s="8">
        <f t="shared" si="13"/>
        <v>1.2389897348670664E-7</v>
      </c>
      <c r="W124" s="8">
        <v>2.6593369999999999E-3</v>
      </c>
      <c r="X124" s="8">
        <f t="shared" si="14"/>
        <v>1.95947716886063E-11</v>
      </c>
      <c r="Y124" s="8"/>
      <c r="Z124" s="8">
        <f t="shared" si="15"/>
        <v>0</v>
      </c>
      <c r="AA124" s="8">
        <v>9.3971780000000008E-3</v>
      </c>
      <c r="AB124" s="8">
        <f t="shared" si="16"/>
        <v>1.4861750040806452E-6</v>
      </c>
      <c r="AC124" s="8">
        <v>0.81160117099999995</v>
      </c>
      <c r="AD124" s="18">
        <f t="shared" si="17"/>
        <v>1.283557014268306E-4</v>
      </c>
      <c r="AE124" s="9">
        <v>29</v>
      </c>
      <c r="AF124" s="10">
        <v>30.6</v>
      </c>
      <c r="AG124" s="10">
        <v>33.200000000000003</v>
      </c>
      <c r="AH124" s="10">
        <v>49.3</v>
      </c>
      <c r="AI124" s="10">
        <v>43.6</v>
      </c>
      <c r="AJ124" s="10">
        <v>46.9</v>
      </c>
      <c r="AK124" s="11">
        <v>6323.0628790000001</v>
      </c>
      <c r="AL124" s="11">
        <v>75.038051800000005</v>
      </c>
      <c r="AM124" s="11">
        <v>1918.001757</v>
      </c>
      <c r="AN124" s="11">
        <v>20</v>
      </c>
      <c r="AO124" s="11">
        <v>42.62</v>
      </c>
      <c r="AP124" s="19">
        <v>4.2587921299999998</v>
      </c>
    </row>
    <row r="125" spans="2:42">
      <c r="B125" t="s">
        <v>131</v>
      </c>
      <c r="C125" t="s">
        <v>132</v>
      </c>
      <c r="D125" t="s">
        <v>133</v>
      </c>
      <c r="E125" t="s">
        <v>35</v>
      </c>
      <c r="F125" t="s">
        <v>36</v>
      </c>
      <c r="G125" t="s">
        <v>37</v>
      </c>
      <c r="H125" t="s">
        <v>38</v>
      </c>
      <c r="I125" t="s">
        <v>39</v>
      </c>
      <c r="J125" t="s">
        <v>40</v>
      </c>
      <c r="K125">
        <v>2010</v>
      </c>
      <c r="L125">
        <v>1.63097810187003</v>
      </c>
      <c r="M125" s="7">
        <v>9.9360783119999994</v>
      </c>
      <c r="N125" s="7">
        <f t="shared" si="9"/>
        <v>2.1930893935715747E-4</v>
      </c>
      <c r="O125" s="8">
        <v>12.97248096</v>
      </c>
      <c r="P125" s="8">
        <f t="shared" si="10"/>
        <v>2.8632836324695424E-4</v>
      </c>
      <c r="Q125" s="8">
        <v>0.29007138199999999</v>
      </c>
      <c r="R125" s="8">
        <f t="shared" si="11"/>
        <v>6.4024502551932842E-6</v>
      </c>
      <c r="S125" s="8">
        <v>3.2201261209999998</v>
      </c>
      <c r="T125" s="8">
        <f t="shared" si="12"/>
        <v>7.1074565036377879E-5</v>
      </c>
      <c r="U125" s="8">
        <v>1.5970257000000002E-2</v>
      </c>
      <c r="V125" s="8">
        <f t="shared" si="13"/>
        <v>3.5249522134917932E-7</v>
      </c>
      <c r="W125" s="8">
        <v>0.13764789099999999</v>
      </c>
      <c r="X125" s="8">
        <f t="shared" si="14"/>
        <v>7.7802680992551909E-12</v>
      </c>
      <c r="Y125" s="8">
        <v>9.9653490999999997E-2</v>
      </c>
      <c r="Z125" s="8">
        <f t="shared" si="15"/>
        <v>2.1995500365625579E-6</v>
      </c>
      <c r="AA125" s="8">
        <v>9.9436781000000002E-2</v>
      </c>
      <c r="AB125" s="8">
        <f t="shared" si="16"/>
        <v>2.1947668173934124E-6</v>
      </c>
      <c r="AC125" s="8">
        <v>5.706245193</v>
      </c>
      <c r="AD125" s="18">
        <f t="shared" si="17"/>
        <v>1.2594813986895924E-4</v>
      </c>
      <c r="AE125" s="9">
        <v>97.6</v>
      </c>
      <c r="AF125" s="10">
        <v>95.2</v>
      </c>
      <c r="AG125" s="10">
        <v>81.5</v>
      </c>
      <c r="AH125" s="10">
        <v>97.1</v>
      </c>
      <c r="AI125" s="10">
        <v>97.2</v>
      </c>
      <c r="AJ125" s="10">
        <v>96.2</v>
      </c>
      <c r="AK125" s="11">
        <v>45306.307809999998</v>
      </c>
      <c r="AL125" s="11">
        <v>55.508449499999998</v>
      </c>
      <c r="AM125" s="11">
        <v>7006.2738209999998</v>
      </c>
      <c r="AN125" s="11">
        <v>3.9</v>
      </c>
      <c r="AO125" s="11">
        <v>87.134</v>
      </c>
      <c r="AP125" s="19">
        <v>6.2507561699999998</v>
      </c>
    </row>
    <row r="126" spans="2:42">
      <c r="B126" t="s">
        <v>134</v>
      </c>
      <c r="C126" t="s">
        <v>135</v>
      </c>
      <c r="D126" t="s">
        <v>136</v>
      </c>
      <c r="E126" t="s">
        <v>35</v>
      </c>
      <c r="F126" t="s">
        <v>36</v>
      </c>
      <c r="G126" t="s">
        <v>37</v>
      </c>
      <c r="H126" t="s">
        <v>38</v>
      </c>
      <c r="I126" t="s">
        <v>39</v>
      </c>
      <c r="J126" t="s">
        <v>40</v>
      </c>
      <c r="K126">
        <v>2010</v>
      </c>
      <c r="L126">
        <v>0.82975783326818398</v>
      </c>
      <c r="M126" s="7">
        <v>84.707952030000001</v>
      </c>
      <c r="N126" s="7">
        <f t="shared" si="9"/>
        <v>1.4549727437347753E-3</v>
      </c>
      <c r="O126" s="8">
        <v>2.7566831440000001</v>
      </c>
      <c r="P126" s="8">
        <f t="shared" si="10"/>
        <v>4.7349732126832612E-5</v>
      </c>
      <c r="Q126" s="8">
        <v>0.267728352</v>
      </c>
      <c r="R126" s="8">
        <f t="shared" si="11"/>
        <v>4.5985937040134309E-6</v>
      </c>
      <c r="S126" s="8">
        <v>4.6519192470000004</v>
      </c>
      <c r="T126" s="8">
        <f t="shared" si="12"/>
        <v>7.9902955368854999E-5</v>
      </c>
      <c r="U126" s="8">
        <v>3.4531931000000002E-2</v>
      </c>
      <c r="V126" s="8">
        <f t="shared" si="13"/>
        <v>5.9313225251551323E-7</v>
      </c>
      <c r="W126" s="8">
        <v>1.4867838E-2</v>
      </c>
      <c r="X126" s="8">
        <f t="shared" si="14"/>
        <v>1.0187842347250333E-11</v>
      </c>
      <c r="Y126" s="8">
        <v>0.11099774</v>
      </c>
      <c r="Z126" s="8">
        <f t="shared" si="15"/>
        <v>1.9065351297710888E-6</v>
      </c>
      <c r="AA126" s="8">
        <v>3.1422825000000001E-2</v>
      </c>
      <c r="AB126" s="8">
        <f t="shared" si="16"/>
        <v>5.3972918492889326E-7</v>
      </c>
      <c r="AC126" s="8">
        <v>2.1092213809999998</v>
      </c>
      <c r="AD126" s="18">
        <f t="shared" si="17"/>
        <v>3.6228707533511854E-5</v>
      </c>
      <c r="AE126" s="9">
        <v>97.1</v>
      </c>
      <c r="AF126" s="10">
        <v>98.1</v>
      </c>
      <c r="AG126" s="10">
        <v>95.3</v>
      </c>
      <c r="AH126" s="10">
        <v>92.8</v>
      </c>
      <c r="AI126" s="10">
        <v>98.6</v>
      </c>
      <c r="AJ126" s="10">
        <v>100</v>
      </c>
      <c r="AK126" s="11">
        <v>58219.614350000003</v>
      </c>
      <c r="AL126" s="11">
        <v>2.7540493499999998</v>
      </c>
      <c r="AM126" s="11">
        <v>24876.197830000001</v>
      </c>
      <c r="AN126" s="11">
        <v>56</v>
      </c>
      <c r="AO126" s="11">
        <v>79.102000000000004</v>
      </c>
      <c r="AP126" s="19">
        <v>5.0189439900000004</v>
      </c>
    </row>
    <row r="127" spans="2:42">
      <c r="B127" t="s">
        <v>137</v>
      </c>
      <c r="C127" t="s">
        <v>138</v>
      </c>
      <c r="D127" t="s">
        <v>139</v>
      </c>
      <c r="E127" t="s">
        <v>35</v>
      </c>
      <c r="F127" t="s">
        <v>36</v>
      </c>
      <c r="G127" t="s">
        <v>37</v>
      </c>
      <c r="H127" t="s">
        <v>38</v>
      </c>
      <c r="I127" t="s">
        <v>39</v>
      </c>
      <c r="J127" t="s">
        <v>40</v>
      </c>
      <c r="K127">
        <v>2010</v>
      </c>
      <c r="L127">
        <v>0.7371218794569</v>
      </c>
      <c r="M127" s="7">
        <v>1.093235534</v>
      </c>
      <c r="N127" s="7">
        <f t="shared" si="9"/>
        <v>5.2075574621044993E-5</v>
      </c>
      <c r="O127" s="8">
        <v>19.192521790000001</v>
      </c>
      <c r="P127" s="8">
        <f t="shared" si="10"/>
        <v>9.1422348575176946E-4</v>
      </c>
      <c r="Q127" s="8">
        <v>4.4488497100000002</v>
      </c>
      <c r="R127" s="8">
        <f t="shared" si="11"/>
        <v>2.1191810716511103E-4</v>
      </c>
      <c r="S127" s="8">
        <v>21.057847219999999</v>
      </c>
      <c r="T127" s="8">
        <f t="shared" si="12"/>
        <v>1.0030770681697168E-3</v>
      </c>
      <c r="U127" s="8">
        <v>9.0029612999999994E-2</v>
      </c>
      <c r="V127" s="8">
        <f t="shared" si="13"/>
        <v>4.2885029658076427E-6</v>
      </c>
      <c r="W127" s="8">
        <v>9.7350234999999993E-2</v>
      </c>
      <c r="X127" s="8">
        <f t="shared" si="14"/>
        <v>2.0428009268173739E-10</v>
      </c>
      <c r="Y127" s="8">
        <v>2.0352116E-2</v>
      </c>
      <c r="Z127" s="8">
        <f t="shared" si="15"/>
        <v>9.6946001341204457E-7</v>
      </c>
      <c r="AA127" s="8">
        <v>0.232470081</v>
      </c>
      <c r="AB127" s="8">
        <f t="shared" si="16"/>
        <v>1.1073563448840361E-5</v>
      </c>
      <c r="AC127" s="8">
        <v>11.38263905</v>
      </c>
      <c r="AD127" s="18">
        <f t="shared" si="17"/>
        <v>5.4220472240220437E-4</v>
      </c>
      <c r="AE127" s="9">
        <v>71.900000000000006</v>
      </c>
      <c r="AF127" s="10">
        <v>70.8</v>
      </c>
      <c r="AG127" s="10">
        <v>84.4</v>
      </c>
      <c r="AH127" s="10">
        <v>81.3</v>
      </c>
      <c r="AI127" s="10">
        <v>68.7</v>
      </c>
      <c r="AJ127" s="10">
        <v>80.099999999999994</v>
      </c>
      <c r="AK127" s="11">
        <v>20993.24956</v>
      </c>
      <c r="AL127" s="11">
        <v>47.175786899999999</v>
      </c>
      <c r="AM127" s="11">
        <v>3797.0922959999998</v>
      </c>
      <c r="AN127" s="11">
        <v>9.5</v>
      </c>
      <c r="AO127" s="11">
        <v>60.892000000000003</v>
      </c>
      <c r="AP127" s="19">
        <v>3.9448946199999999</v>
      </c>
    </row>
    <row r="128" spans="2:42">
      <c r="B128" t="s">
        <v>140</v>
      </c>
      <c r="C128" t="s">
        <v>141</v>
      </c>
      <c r="D128" t="s">
        <v>142</v>
      </c>
      <c r="E128" t="s">
        <v>35</v>
      </c>
      <c r="F128" t="s">
        <v>36</v>
      </c>
      <c r="G128" t="s">
        <v>37</v>
      </c>
      <c r="H128" t="s">
        <v>38</v>
      </c>
      <c r="I128" t="s">
        <v>39</v>
      </c>
      <c r="J128" t="s">
        <v>40</v>
      </c>
      <c r="K128">
        <v>2010</v>
      </c>
      <c r="L128">
        <v>0.74101167635799203</v>
      </c>
      <c r="M128" s="7">
        <v>68.339646400000007</v>
      </c>
      <c r="N128" s="7">
        <f t="shared" si="9"/>
        <v>2.5037328123623361E-3</v>
      </c>
      <c r="O128" s="8">
        <v>4.6010619049999999</v>
      </c>
      <c r="P128" s="8">
        <f t="shared" si="10"/>
        <v>1.6856729980474199E-4</v>
      </c>
      <c r="Q128" s="8">
        <v>0.26173862599999997</v>
      </c>
      <c r="R128" s="8">
        <f t="shared" si="11"/>
        <v>9.5892153486300966E-6</v>
      </c>
      <c r="S128" s="8">
        <v>0.31095377600000002</v>
      </c>
      <c r="T128" s="8">
        <f t="shared" si="12"/>
        <v>1.1392291489807413E-5</v>
      </c>
      <c r="U128" s="8">
        <v>6.1133034000000003E-2</v>
      </c>
      <c r="V128" s="8">
        <f t="shared" si="13"/>
        <v>2.2397069813498815E-6</v>
      </c>
      <c r="W128" s="8">
        <v>3.6136608000000001E-2</v>
      </c>
      <c r="X128" s="8">
        <f t="shared" si="14"/>
        <v>8.2055265935392612E-11</v>
      </c>
      <c r="Y128" s="8">
        <v>3.0241320000000001E-3</v>
      </c>
      <c r="Z128" s="8">
        <f t="shared" si="15"/>
        <v>1.1079393757757189E-7</v>
      </c>
      <c r="AA128" s="8">
        <v>3.5112734999999999E-2</v>
      </c>
      <c r="AB128" s="8">
        <f t="shared" si="16"/>
        <v>1.2864114958499905E-6</v>
      </c>
      <c r="AC128" s="8">
        <v>4.3356098279999999</v>
      </c>
      <c r="AD128" s="18">
        <f t="shared" si="17"/>
        <v>1.5884203620878293E-4</v>
      </c>
      <c r="AE128" s="9">
        <v>81.400000000000006</v>
      </c>
      <c r="AF128" s="10">
        <v>78.900000000000006</v>
      </c>
      <c r="AG128" s="10">
        <v>71.099999999999994</v>
      </c>
      <c r="AH128" s="10">
        <v>74.599999999999994</v>
      </c>
      <c r="AI128" s="10">
        <v>82.9</v>
      </c>
      <c r="AJ128" s="10">
        <v>83.9</v>
      </c>
      <c r="AK128" s="11">
        <v>27295.10356</v>
      </c>
      <c r="AL128" s="11">
        <v>39.897041199999997</v>
      </c>
      <c r="AM128" s="11">
        <v>4959.0943049999996</v>
      </c>
      <c r="AN128" s="11">
        <v>27.8</v>
      </c>
      <c r="AO128" s="11">
        <v>60.567</v>
      </c>
      <c r="AP128" s="19">
        <v>3.7737682000000001</v>
      </c>
    </row>
    <row r="129" spans="2:42">
      <c r="B129" t="s">
        <v>143</v>
      </c>
      <c r="C129" t="s">
        <v>144</v>
      </c>
      <c r="D129" t="s">
        <v>145</v>
      </c>
      <c r="E129" t="s">
        <v>35</v>
      </c>
      <c r="F129" t="s">
        <v>36</v>
      </c>
      <c r="G129" t="s">
        <v>37</v>
      </c>
      <c r="H129" t="s">
        <v>38</v>
      </c>
      <c r="I129" t="s">
        <v>39</v>
      </c>
      <c r="J129" t="s">
        <v>40</v>
      </c>
      <c r="K129">
        <v>2010</v>
      </c>
      <c r="L129">
        <v>0.76779350424633597</v>
      </c>
      <c r="M129" s="7">
        <v>11.52430159</v>
      </c>
      <c r="N129" s="7">
        <f t="shared" si="9"/>
        <v>6.6397004647932576E-4</v>
      </c>
      <c r="O129" s="8">
        <v>10.85694698</v>
      </c>
      <c r="P129" s="8">
        <f t="shared" si="10"/>
        <v>6.2552056058558724E-4</v>
      </c>
      <c r="Q129" s="8">
        <v>1.3154955450000001</v>
      </c>
      <c r="R129" s="8">
        <f t="shared" si="11"/>
        <v>7.5791980219861287E-5</v>
      </c>
      <c r="S129" s="8">
        <v>3.9363574200000002</v>
      </c>
      <c r="T129" s="8">
        <f t="shared" si="12"/>
        <v>2.2679234821349715E-4</v>
      </c>
      <c r="U129" s="8">
        <v>1.9808546E-2</v>
      </c>
      <c r="V129" s="8">
        <f t="shared" si="13"/>
        <v>1.1412649266069633E-6</v>
      </c>
      <c r="W129" s="8">
        <v>1.3586439000000001E-2</v>
      </c>
      <c r="X129" s="8">
        <f t="shared" si="14"/>
        <v>6.5753722292549764E-11</v>
      </c>
      <c r="Y129" s="8">
        <v>4.3081195000000003E-2</v>
      </c>
      <c r="Z129" s="8">
        <f t="shared" si="15"/>
        <v>2.4821133691395258E-6</v>
      </c>
      <c r="AA129" s="8">
        <v>2.7951413000000001E-2</v>
      </c>
      <c r="AB129" s="8">
        <f t="shared" si="16"/>
        <v>1.6104143790264023E-6</v>
      </c>
      <c r="AC129" s="8">
        <v>6.0980219760000001</v>
      </c>
      <c r="AD129" s="18">
        <f t="shared" si="17"/>
        <v>3.5133616585928567E-4</v>
      </c>
      <c r="AE129" s="9">
        <v>45.2</v>
      </c>
      <c r="AF129" s="10">
        <v>51.2</v>
      </c>
      <c r="AG129" s="10">
        <v>54</v>
      </c>
      <c r="AH129" s="10">
        <v>73.2</v>
      </c>
      <c r="AI129" s="10">
        <v>58.3</v>
      </c>
      <c r="AJ129" s="10">
        <v>59.2</v>
      </c>
      <c r="AK129" s="11">
        <v>17356.65886</v>
      </c>
      <c r="AL129" s="11">
        <v>61.534449000000002</v>
      </c>
      <c r="AM129" s="11">
        <v>2550.8632910000001</v>
      </c>
      <c r="AN129" s="11">
        <v>24.1</v>
      </c>
      <c r="AO129" s="11">
        <v>53.829000000000001</v>
      </c>
      <c r="AP129" s="19">
        <v>1.88971859</v>
      </c>
    </row>
    <row r="130" spans="2:42">
      <c r="B130" t="s">
        <v>146</v>
      </c>
      <c r="C130" t="s">
        <v>147</v>
      </c>
      <c r="D130" t="s">
        <v>148</v>
      </c>
      <c r="E130" t="s">
        <v>35</v>
      </c>
      <c r="F130" t="s">
        <v>36</v>
      </c>
      <c r="G130" t="s">
        <v>37</v>
      </c>
      <c r="H130" t="s">
        <v>38</v>
      </c>
      <c r="I130" t="s">
        <v>39</v>
      </c>
      <c r="J130" t="s">
        <v>40</v>
      </c>
      <c r="K130">
        <v>2010</v>
      </c>
      <c r="L130">
        <v>0.87546008955777399</v>
      </c>
      <c r="M130" s="7">
        <v>0.99369299799999999</v>
      </c>
      <c r="N130" s="7">
        <f t="shared" si="9"/>
        <v>3.9145673337298975E-5</v>
      </c>
      <c r="O130" s="8">
        <v>1.755103648</v>
      </c>
      <c r="P130" s="8">
        <f t="shared" si="10"/>
        <v>6.914078514791926E-5</v>
      </c>
      <c r="Q130" s="8">
        <v>5.5512429000000002E-2</v>
      </c>
      <c r="R130" s="8">
        <f t="shared" si="11"/>
        <v>2.1868639672089169E-6</v>
      </c>
      <c r="S130" s="8">
        <v>1.1193709000000001</v>
      </c>
      <c r="T130" s="8">
        <f t="shared" si="12"/>
        <v>4.4096645224301321E-5</v>
      </c>
      <c r="U130" s="8">
        <v>2.0607163000000001E-2</v>
      </c>
      <c r="V130" s="8">
        <f t="shared" si="13"/>
        <v>8.118013036522111E-7</v>
      </c>
      <c r="W130" s="8">
        <v>1.5636893999999998E-2</v>
      </c>
      <c r="X130" s="8">
        <f t="shared" si="14"/>
        <v>3.198020788263913E-11</v>
      </c>
      <c r="Y130" s="8">
        <v>1.4166878000000001E-2</v>
      </c>
      <c r="Z130" s="8">
        <f t="shared" si="15"/>
        <v>5.5809186490551022E-7</v>
      </c>
      <c r="AA130" s="8">
        <v>1.0192809000000001E-2</v>
      </c>
      <c r="AB130" s="8">
        <f t="shared" si="16"/>
        <v>4.0153686531610342E-7</v>
      </c>
      <c r="AC130" s="8">
        <v>3.6579847980000002</v>
      </c>
      <c r="AD130" s="18">
        <f t="shared" si="17"/>
        <v>1.4410313674698309E-4</v>
      </c>
      <c r="AE130" s="9">
        <v>63.8</v>
      </c>
      <c r="AF130" s="10">
        <v>75.099999999999994</v>
      </c>
      <c r="AG130" s="10">
        <v>86.7</v>
      </c>
      <c r="AH130" s="10">
        <v>79.900000000000006</v>
      </c>
      <c r="AI130" s="10">
        <v>66.400000000000006</v>
      </c>
      <c r="AJ130" s="10">
        <v>74.900000000000006</v>
      </c>
      <c r="AK130" s="11">
        <v>25384.491139999998</v>
      </c>
      <c r="AL130" s="11">
        <v>40.437919800000003</v>
      </c>
      <c r="AM130" s="11">
        <v>5201.4048970000003</v>
      </c>
      <c r="AN130" s="11">
        <v>10.3</v>
      </c>
      <c r="AO130" s="11">
        <v>54.685000000000002</v>
      </c>
      <c r="AP130" s="19">
        <v>2.3222289300000001</v>
      </c>
    </row>
    <row r="131" spans="2:42">
      <c r="B131" t="s">
        <v>149</v>
      </c>
      <c r="C131" t="s">
        <v>150</v>
      </c>
      <c r="D131" t="s">
        <v>151</v>
      </c>
      <c r="E131" t="s">
        <v>35</v>
      </c>
      <c r="F131" t="s">
        <v>36</v>
      </c>
      <c r="G131" t="s">
        <v>37</v>
      </c>
      <c r="H131" t="s">
        <v>38</v>
      </c>
      <c r="I131" t="s">
        <v>39</v>
      </c>
      <c r="J131" t="s">
        <v>40</v>
      </c>
      <c r="K131">
        <v>2010</v>
      </c>
      <c r="L131">
        <v>0.67036263987086098</v>
      </c>
      <c r="M131" s="7">
        <v>46.767082109999997</v>
      </c>
      <c r="N131" s="7">
        <f t="shared" ref="N131:N194" si="18">M131/AK131</f>
        <v>1.6955347028698787E-3</v>
      </c>
      <c r="O131" s="8">
        <v>1.5644907299999999</v>
      </c>
      <c r="P131" s="8">
        <f t="shared" ref="P131:P194" si="19">O131/AK131</f>
        <v>5.672041541514144E-5</v>
      </c>
      <c r="Q131" s="8">
        <v>0.19654808400000001</v>
      </c>
      <c r="R131" s="8">
        <f t="shared" ref="R131:R194" si="20">Q131/AK131</f>
        <v>7.1258261616737842E-6</v>
      </c>
      <c r="S131" s="8">
        <v>1.3305804020000001</v>
      </c>
      <c r="T131" s="8">
        <f t="shared" ref="T131:T194" si="21">S131/AK131</f>
        <v>4.824002577802804E-5</v>
      </c>
      <c r="U131" s="8">
        <v>4.6939709999999999E-3</v>
      </c>
      <c r="V131" s="8">
        <f t="shared" ref="V131:V194" si="22">U131/AK131</f>
        <v>1.7017933053948289E-7</v>
      </c>
      <c r="W131" s="8">
        <v>3.8101089999999999E-3</v>
      </c>
      <c r="X131" s="8">
        <f t="shared" ref="X131:X194" si="23">V131/AK131</f>
        <v>6.169830308467303E-12</v>
      </c>
      <c r="Y131" s="8">
        <v>5.2787779999999996E-3</v>
      </c>
      <c r="Z131" s="8">
        <f t="shared" ref="Z131:Z194" si="24">Y131/AK131</f>
        <v>1.9138143505926015E-7</v>
      </c>
      <c r="AA131" s="8">
        <v>1.0490546999999999E-2</v>
      </c>
      <c r="AB131" s="8">
        <f t="shared" ref="AB131:AB194" si="25">AA131/AK131</f>
        <v>3.8033346721847679E-7</v>
      </c>
      <c r="AC131" s="8">
        <v>0.70025316800000004</v>
      </c>
      <c r="AD131" s="18">
        <f t="shared" ref="AD131:AD194" si="26">AC131/AK131</f>
        <v>2.5387590877402534E-5</v>
      </c>
      <c r="AE131" s="9">
        <v>79</v>
      </c>
      <c r="AF131" s="10">
        <v>80.900000000000006</v>
      </c>
      <c r="AG131" s="10">
        <v>77.3</v>
      </c>
      <c r="AH131" s="10">
        <v>75.099999999999994</v>
      </c>
      <c r="AI131" s="10">
        <v>81.5</v>
      </c>
      <c r="AJ131" s="10">
        <v>81.5</v>
      </c>
      <c r="AK131" s="11">
        <v>27582.497739999999</v>
      </c>
      <c r="AL131" s="11">
        <v>30.966633900000001</v>
      </c>
      <c r="AM131" s="11">
        <v>6510.8418840000004</v>
      </c>
      <c r="AN131" s="11">
        <v>20.100000000000001</v>
      </c>
      <c r="AO131" s="11">
        <v>52.658000000000001</v>
      </c>
      <c r="AP131" s="19">
        <v>0.66776128000000001</v>
      </c>
    </row>
    <row r="132" spans="2:42">
      <c r="B132" t="s">
        <v>152</v>
      </c>
      <c r="C132" t="s">
        <v>153</v>
      </c>
      <c r="D132" t="s">
        <v>154</v>
      </c>
      <c r="E132" t="s">
        <v>35</v>
      </c>
      <c r="F132" t="s">
        <v>36</v>
      </c>
      <c r="G132" t="s">
        <v>37</v>
      </c>
      <c r="H132" t="s">
        <v>38</v>
      </c>
      <c r="I132" t="s">
        <v>39</v>
      </c>
      <c r="J132" t="s">
        <v>40</v>
      </c>
      <c r="K132">
        <v>2010</v>
      </c>
      <c r="L132">
        <v>1.03261928444713</v>
      </c>
      <c r="M132" s="7">
        <v>0.99369299799999999</v>
      </c>
      <c r="N132" s="7">
        <f t="shared" si="18"/>
        <v>3.124013417892198E-5</v>
      </c>
      <c r="O132" s="8">
        <v>26.16461632</v>
      </c>
      <c r="P132" s="8">
        <f t="shared" si="19"/>
        <v>8.225741010774555E-4</v>
      </c>
      <c r="Q132" s="8">
        <v>1.056439422</v>
      </c>
      <c r="R132" s="8">
        <f t="shared" si="20"/>
        <v>3.3212782380079505E-5</v>
      </c>
      <c r="S132" s="8">
        <v>1.677755635</v>
      </c>
      <c r="T132" s="8">
        <f t="shared" si="21"/>
        <v>5.2745980159198472E-5</v>
      </c>
      <c r="U132" s="8">
        <v>7.6941973999999996E-2</v>
      </c>
      <c r="V132" s="8">
        <f t="shared" si="22"/>
        <v>2.4189338121421746E-6</v>
      </c>
      <c r="W132" s="8">
        <v>0.11407595299999999</v>
      </c>
      <c r="X132" s="8">
        <f t="shared" si="23"/>
        <v>7.6047448269583951E-11</v>
      </c>
      <c r="Y132" s="8">
        <v>3.9626332E-2</v>
      </c>
      <c r="Z132" s="8">
        <f t="shared" si="24"/>
        <v>1.2457891231900475E-6</v>
      </c>
      <c r="AA132" s="8">
        <v>0.226829425</v>
      </c>
      <c r="AB132" s="8">
        <f t="shared" si="25"/>
        <v>7.1311578998644804E-6</v>
      </c>
      <c r="AC132" s="8">
        <v>17.419211619999999</v>
      </c>
      <c r="AD132" s="18">
        <f t="shared" si="26"/>
        <v>5.4763242711290282E-4</v>
      </c>
      <c r="AE132" s="9">
        <v>83.8</v>
      </c>
      <c r="AF132" s="10">
        <v>78.5</v>
      </c>
      <c r="AG132" s="10">
        <v>33.6</v>
      </c>
      <c r="AH132" s="10">
        <v>84.2</v>
      </c>
      <c r="AI132" s="10">
        <v>85.8</v>
      </c>
      <c r="AJ132" s="10">
        <v>85.3</v>
      </c>
      <c r="AK132" s="11">
        <v>31808.217990000001</v>
      </c>
      <c r="AL132" s="11">
        <v>55.088898200000003</v>
      </c>
      <c r="AM132" s="11">
        <v>5706.5630629999996</v>
      </c>
      <c r="AN132" s="11">
        <v>14.4</v>
      </c>
      <c r="AO132" s="11">
        <v>78.441999999999993</v>
      </c>
      <c r="AP132" s="19">
        <v>2.5636988999999999</v>
      </c>
    </row>
    <row r="133" spans="2:42">
      <c r="B133" t="s">
        <v>155</v>
      </c>
      <c r="C133" t="s">
        <v>156</v>
      </c>
      <c r="D133" t="s">
        <v>157</v>
      </c>
      <c r="E133" t="s">
        <v>35</v>
      </c>
      <c r="F133" t="s">
        <v>36</v>
      </c>
      <c r="G133" t="s">
        <v>37</v>
      </c>
      <c r="H133" t="s">
        <v>38</v>
      </c>
      <c r="I133" t="s">
        <v>39</v>
      </c>
      <c r="J133" t="s">
        <v>40</v>
      </c>
      <c r="K133">
        <v>2010</v>
      </c>
      <c r="L133">
        <v>0.43936320458386102</v>
      </c>
      <c r="M133" s="7">
        <v>68.221181340000001</v>
      </c>
      <c r="N133" s="7">
        <f t="shared" si="18"/>
        <v>1.6260122883057177E-3</v>
      </c>
      <c r="O133" s="8">
        <v>4.1738342289999997</v>
      </c>
      <c r="P133" s="8">
        <f t="shared" si="19"/>
        <v>9.9480917984716633E-5</v>
      </c>
      <c r="Q133" s="8">
        <v>0.267406123</v>
      </c>
      <c r="R133" s="8">
        <f t="shared" si="20"/>
        <v>6.3734698436136788E-6</v>
      </c>
      <c r="S133" s="8">
        <v>0.148470345</v>
      </c>
      <c r="T133" s="8">
        <f t="shared" si="21"/>
        <v>3.538704558864641E-6</v>
      </c>
      <c r="U133" s="8">
        <v>0.17488109700000001</v>
      </c>
      <c r="V133" s="8">
        <f t="shared" si="22"/>
        <v>4.1681895142976161E-6</v>
      </c>
      <c r="W133" s="8">
        <v>0.20152951499999999</v>
      </c>
      <c r="X133" s="8">
        <f t="shared" si="23"/>
        <v>9.9346379483773462E-11</v>
      </c>
      <c r="Y133" s="8">
        <v>1.0800242999999999E-2</v>
      </c>
      <c r="Z133" s="8">
        <f t="shared" si="24"/>
        <v>2.5741752766147287E-7</v>
      </c>
      <c r="AA133" s="8">
        <v>5.9411555999999997E-2</v>
      </c>
      <c r="AB133" s="8">
        <f t="shared" si="25"/>
        <v>1.4160399779931939E-6</v>
      </c>
      <c r="AC133" s="8">
        <v>3.8316044800000002</v>
      </c>
      <c r="AD133" s="18">
        <f t="shared" si="26"/>
        <v>9.1324070413806765E-5</v>
      </c>
      <c r="AE133" s="9">
        <v>99</v>
      </c>
      <c r="AF133" s="10">
        <v>98.6</v>
      </c>
      <c r="AG133" s="10">
        <v>87.7</v>
      </c>
      <c r="AH133" s="10">
        <v>95.2</v>
      </c>
      <c r="AI133" s="10">
        <v>99.5</v>
      </c>
      <c r="AJ133" s="10">
        <v>98.1</v>
      </c>
      <c r="AK133" s="11">
        <v>41956.129009999997</v>
      </c>
      <c r="AL133" s="11">
        <v>7.5457904100000004</v>
      </c>
      <c r="AM133" s="11">
        <v>14935.28664</v>
      </c>
      <c r="AN133" s="11">
        <v>44.7</v>
      </c>
      <c r="AO133" s="11">
        <v>85.055999999999997</v>
      </c>
      <c r="AP133" s="19">
        <v>0.12685906</v>
      </c>
    </row>
    <row r="134" spans="2:42">
      <c r="B134" t="s">
        <v>158</v>
      </c>
      <c r="C134" t="s">
        <v>159</v>
      </c>
      <c r="D134" t="s">
        <v>160</v>
      </c>
      <c r="E134" t="s">
        <v>35</v>
      </c>
      <c r="F134" t="s">
        <v>36</v>
      </c>
      <c r="G134" t="s">
        <v>37</v>
      </c>
      <c r="H134" t="s">
        <v>38</v>
      </c>
      <c r="I134" t="s">
        <v>39</v>
      </c>
      <c r="J134" t="s">
        <v>40</v>
      </c>
      <c r="K134">
        <v>2010</v>
      </c>
      <c r="L134">
        <v>0.59423057822052705</v>
      </c>
      <c r="M134" s="7">
        <v>46.767082109999997</v>
      </c>
      <c r="N134" s="7">
        <f t="shared" si="18"/>
        <v>8.5917835119416581E-4</v>
      </c>
      <c r="O134" s="8">
        <v>4.1633333669999999</v>
      </c>
      <c r="P134" s="8">
        <f t="shared" si="19"/>
        <v>7.6486403178141629E-5</v>
      </c>
      <c r="Q134" s="8">
        <v>0.292117197</v>
      </c>
      <c r="R134" s="8">
        <f t="shared" si="20"/>
        <v>5.3666117352285103E-6</v>
      </c>
      <c r="S134" s="8">
        <v>0.42695196099999999</v>
      </c>
      <c r="T134" s="8">
        <f t="shared" si="21"/>
        <v>7.8437196707779756E-6</v>
      </c>
      <c r="U134" s="8">
        <v>1.9414457E-2</v>
      </c>
      <c r="V134" s="8">
        <f t="shared" si="22"/>
        <v>3.5667141078753159E-7</v>
      </c>
      <c r="W134" s="8">
        <v>3.8323942E-2</v>
      </c>
      <c r="X134" s="8">
        <f t="shared" si="23"/>
        <v>6.5525651978403577E-12</v>
      </c>
      <c r="Y134" s="8">
        <v>3.308928E-3</v>
      </c>
      <c r="Z134" s="8">
        <f t="shared" si="24"/>
        <v>6.0789751572983233E-8</v>
      </c>
      <c r="AA134" s="8">
        <v>3.8560799999999999E-2</v>
      </c>
      <c r="AB134" s="8">
        <f t="shared" si="25"/>
        <v>7.084171829835802E-7</v>
      </c>
      <c r="AC134" s="8">
        <v>0.22831095000000001</v>
      </c>
      <c r="AD134" s="18">
        <f t="shared" si="26"/>
        <v>4.1943994949094687E-6</v>
      </c>
      <c r="AE134" s="9">
        <v>96.7</v>
      </c>
      <c r="AF134" s="10">
        <v>97.6</v>
      </c>
      <c r="AG134" s="10">
        <v>92.4</v>
      </c>
      <c r="AH134" s="10">
        <v>94.7</v>
      </c>
      <c r="AI134" s="10">
        <v>94.3</v>
      </c>
      <c r="AJ134" s="10">
        <v>99.1</v>
      </c>
      <c r="AK134" s="11">
        <v>54432.332990000003</v>
      </c>
      <c r="AL134" s="11">
        <v>38.832838899999999</v>
      </c>
      <c r="AM134" s="11">
        <v>8174.5359589999998</v>
      </c>
      <c r="AN134" s="11">
        <v>20.6</v>
      </c>
      <c r="AO134" s="11">
        <v>73.606999999999999</v>
      </c>
      <c r="AP134" s="19">
        <v>2.95077319</v>
      </c>
    </row>
    <row r="135" spans="2:42">
      <c r="B135" t="s">
        <v>161</v>
      </c>
      <c r="C135" t="s">
        <v>162</v>
      </c>
      <c r="D135" t="s">
        <v>163</v>
      </c>
      <c r="E135" t="s">
        <v>35</v>
      </c>
      <c r="F135" t="s">
        <v>36</v>
      </c>
      <c r="G135" t="s">
        <v>37</v>
      </c>
      <c r="H135" t="s">
        <v>38</v>
      </c>
      <c r="I135" t="s">
        <v>39</v>
      </c>
      <c r="J135" t="s">
        <v>40</v>
      </c>
      <c r="K135">
        <v>2010</v>
      </c>
      <c r="L135">
        <v>0.32614299308685801</v>
      </c>
      <c r="M135" s="7">
        <v>53.88035601</v>
      </c>
      <c r="N135" s="7">
        <f t="shared" si="18"/>
        <v>3.1066281738375513E-3</v>
      </c>
      <c r="O135" s="8">
        <v>28.86102283</v>
      </c>
      <c r="P135" s="8">
        <f t="shared" si="19"/>
        <v>1.6640659655776237E-3</v>
      </c>
      <c r="Q135" s="8">
        <v>2.8669778959999999</v>
      </c>
      <c r="R135" s="8">
        <f t="shared" si="20"/>
        <v>1.6530392456631253E-4</v>
      </c>
      <c r="S135" s="8">
        <v>7.0676390900000001</v>
      </c>
      <c r="T135" s="8">
        <f t="shared" si="21"/>
        <v>4.075052272378182E-4</v>
      </c>
      <c r="U135" s="8">
        <v>6.0652705000000001E-2</v>
      </c>
      <c r="V135" s="8">
        <f t="shared" si="22"/>
        <v>3.4971075940457154E-6</v>
      </c>
      <c r="W135" s="8">
        <v>9.1749190999999994E-2</v>
      </c>
      <c r="X135" s="8">
        <f t="shared" si="23"/>
        <v>2.0163587962535575E-10</v>
      </c>
      <c r="Y135" s="8">
        <v>1.5101959E-2</v>
      </c>
      <c r="Z135" s="8">
        <f t="shared" si="24"/>
        <v>8.7074724043827955E-7</v>
      </c>
      <c r="AA135" s="8">
        <v>0.23615122799999999</v>
      </c>
      <c r="AB135" s="8">
        <f t="shared" si="25"/>
        <v>1.3615983867199677E-5</v>
      </c>
      <c r="AC135" s="8">
        <v>35.391349920000003</v>
      </c>
      <c r="AD135" s="18">
        <f t="shared" si="26"/>
        <v>2.0405909113000195E-3</v>
      </c>
      <c r="AE135" s="9">
        <v>59</v>
      </c>
      <c r="AF135" s="10">
        <v>64.099999999999994</v>
      </c>
      <c r="AG135" s="10">
        <v>19</v>
      </c>
      <c r="AH135" s="10">
        <v>61.2</v>
      </c>
      <c r="AI135" s="10">
        <v>55</v>
      </c>
      <c r="AJ135" s="10">
        <v>44.5</v>
      </c>
      <c r="AK135" s="11">
        <v>17343.67713</v>
      </c>
      <c r="AL135" s="11">
        <v>50.689292299999998</v>
      </c>
      <c r="AM135" s="11">
        <v>2463.8597580000001</v>
      </c>
      <c r="AN135" s="11">
        <v>14.2</v>
      </c>
      <c r="AO135" s="11">
        <v>70.825000000000003</v>
      </c>
      <c r="AP135" s="19">
        <v>1.1710918100000001</v>
      </c>
    </row>
    <row r="136" spans="2:42">
      <c r="B136" t="s">
        <v>164</v>
      </c>
      <c r="C136" t="s">
        <v>165</v>
      </c>
      <c r="D136" t="s">
        <v>166</v>
      </c>
      <c r="E136" t="s">
        <v>35</v>
      </c>
      <c r="F136" t="s">
        <v>36</v>
      </c>
      <c r="G136" t="s">
        <v>37</v>
      </c>
      <c r="H136" t="s">
        <v>38</v>
      </c>
      <c r="I136" t="s">
        <v>39</v>
      </c>
      <c r="J136" t="s">
        <v>40</v>
      </c>
      <c r="K136">
        <v>2010</v>
      </c>
      <c r="L136">
        <v>4.3578367616482303E-2</v>
      </c>
      <c r="M136" s="7">
        <v>35.463613819999999</v>
      </c>
      <c r="N136" s="7">
        <f t="shared" si="18"/>
        <v>1.6955583428928781E-2</v>
      </c>
      <c r="O136" s="8">
        <v>15.66746605</v>
      </c>
      <c r="P136" s="8">
        <f t="shared" si="19"/>
        <v>7.4908053386501796E-3</v>
      </c>
      <c r="Q136" s="8">
        <v>2.632862351</v>
      </c>
      <c r="R136" s="8">
        <f t="shared" si="20"/>
        <v>1.2588033886182803E-3</v>
      </c>
      <c r="S136" s="8">
        <v>3.3341615999999998</v>
      </c>
      <c r="T136" s="8">
        <f t="shared" si="21"/>
        <v>1.5941030561992136E-3</v>
      </c>
      <c r="U136" s="8">
        <v>7.5242334999999994E-2</v>
      </c>
      <c r="V136" s="8">
        <f t="shared" si="22"/>
        <v>3.5974271966621253E-5</v>
      </c>
      <c r="W136" s="8">
        <v>2.0624179999999999E-3</v>
      </c>
      <c r="X136" s="8">
        <f t="shared" si="23"/>
        <v>1.7199735275738477E-8</v>
      </c>
      <c r="Y136" s="8"/>
      <c r="Z136" s="8">
        <f t="shared" si="24"/>
        <v>0</v>
      </c>
      <c r="AA136" s="8">
        <v>6.4167470000000004E-3</v>
      </c>
      <c r="AB136" s="8">
        <f t="shared" si="25"/>
        <v>3.0679244831915576E-6</v>
      </c>
      <c r="AC136" s="8">
        <v>2.4326069760000002</v>
      </c>
      <c r="AD136" s="18">
        <f t="shared" si="26"/>
        <v>1.1630588676245111E-3</v>
      </c>
      <c r="AE136" s="9">
        <v>18.600000000000001</v>
      </c>
      <c r="AF136" s="10">
        <v>35.4</v>
      </c>
      <c r="AG136" s="10">
        <v>16.100000000000001</v>
      </c>
      <c r="AH136" s="10">
        <v>46.9</v>
      </c>
      <c r="AI136" s="10">
        <v>42.2</v>
      </c>
      <c r="AJ136" s="10">
        <v>30.8</v>
      </c>
      <c r="AK136" s="11">
        <v>2091.5596310000001</v>
      </c>
      <c r="AL136" s="11">
        <v>71.140035900000001</v>
      </c>
      <c r="AM136" s="11">
        <v>59.862673360000002</v>
      </c>
      <c r="AN136" s="11">
        <v>93.6</v>
      </c>
      <c r="AO136" s="11">
        <v>19.382999999999999</v>
      </c>
      <c r="AP136" s="19">
        <v>2.0390047099999999</v>
      </c>
    </row>
    <row r="137" spans="2:42">
      <c r="B137" t="s">
        <v>167</v>
      </c>
      <c r="C137" t="s">
        <v>168</v>
      </c>
      <c r="D137" t="s">
        <v>169</v>
      </c>
      <c r="E137" t="s">
        <v>35</v>
      </c>
      <c r="F137" t="s">
        <v>36</v>
      </c>
      <c r="G137" t="s">
        <v>37</v>
      </c>
      <c r="H137" t="s">
        <v>38</v>
      </c>
      <c r="I137" t="s">
        <v>39</v>
      </c>
      <c r="J137" t="s">
        <v>40</v>
      </c>
      <c r="K137">
        <v>2010</v>
      </c>
      <c r="L137">
        <v>0.26612040995195202</v>
      </c>
      <c r="M137" s="7">
        <v>45814.94339</v>
      </c>
      <c r="N137" s="7">
        <f t="shared" si="18"/>
        <v>5.4197703200945444</v>
      </c>
      <c r="O137" s="8">
        <v>16.287308419999999</v>
      </c>
      <c r="P137" s="8">
        <f t="shared" si="19"/>
        <v>1.9267397106117422E-3</v>
      </c>
      <c r="Q137" s="8">
        <v>0.59578748199999998</v>
      </c>
      <c r="R137" s="8">
        <f t="shared" si="20"/>
        <v>7.0479871262533542E-5</v>
      </c>
      <c r="S137" s="8">
        <v>47.42390297</v>
      </c>
      <c r="T137" s="8">
        <f t="shared" si="21"/>
        <v>5.6101054101913512E-3</v>
      </c>
      <c r="U137" s="8">
        <v>5.9771935999999998E-2</v>
      </c>
      <c r="V137" s="8">
        <f t="shared" si="22"/>
        <v>7.0708406632692463E-6</v>
      </c>
      <c r="W137" s="8">
        <v>5.6142447999999998E-2</v>
      </c>
      <c r="X137" s="8">
        <f t="shared" si="23"/>
        <v>8.3645923206070957E-10</v>
      </c>
      <c r="Y137" s="8">
        <v>0.13800085600000001</v>
      </c>
      <c r="Z137" s="8">
        <f t="shared" si="24"/>
        <v>1.6325087147432598E-5</v>
      </c>
      <c r="AA137" s="8">
        <v>0.174851863</v>
      </c>
      <c r="AB137" s="8">
        <f t="shared" si="25"/>
        <v>2.0684450691856184E-5</v>
      </c>
      <c r="AC137" s="8">
        <v>9.4964929369999993</v>
      </c>
      <c r="AD137" s="18">
        <f t="shared" si="26"/>
        <v>1.1234066170683981E-3</v>
      </c>
      <c r="AE137" s="9">
        <v>16.2</v>
      </c>
      <c r="AF137" s="10">
        <v>23.9</v>
      </c>
      <c r="AG137" s="10">
        <v>45.5</v>
      </c>
      <c r="AH137" s="10">
        <v>35.4</v>
      </c>
      <c r="AI137" s="10">
        <v>23.7</v>
      </c>
      <c r="AJ137" s="10">
        <v>45</v>
      </c>
      <c r="AK137" s="11">
        <v>8453.2998050000006</v>
      </c>
      <c r="AL137" s="11">
        <v>71.233515199999999</v>
      </c>
      <c r="AM137" s="11">
        <v>3510.3751820000002</v>
      </c>
      <c r="AN137" s="11">
        <v>2.9</v>
      </c>
      <c r="AO137" s="11">
        <v>68.596000000000004</v>
      </c>
      <c r="AP137" s="19">
        <v>4.5684001800000003</v>
      </c>
    </row>
    <row r="138" spans="2:42">
      <c r="B138" t="s">
        <v>170</v>
      </c>
      <c r="C138" t="s">
        <v>171</v>
      </c>
      <c r="D138" t="s">
        <v>172</v>
      </c>
      <c r="E138" t="s">
        <v>35</v>
      </c>
      <c r="F138" t="s">
        <v>36</v>
      </c>
      <c r="G138" t="s">
        <v>37</v>
      </c>
      <c r="H138" t="s">
        <v>38</v>
      </c>
      <c r="I138" t="s">
        <v>39</v>
      </c>
      <c r="J138" t="s">
        <v>40</v>
      </c>
      <c r="K138">
        <v>2010</v>
      </c>
      <c r="L138">
        <v>0.95881701655196805</v>
      </c>
      <c r="M138" s="7">
        <v>404.16940290000002</v>
      </c>
      <c r="N138" s="7">
        <f t="shared" si="18"/>
        <v>1.1076875624225392E-2</v>
      </c>
      <c r="O138" s="8">
        <v>32.184211249999997</v>
      </c>
      <c r="P138" s="8">
        <f t="shared" si="19"/>
        <v>8.8205713377133429E-4</v>
      </c>
      <c r="Q138" s="8">
        <v>0.76358314299999996</v>
      </c>
      <c r="R138" s="8">
        <f t="shared" si="20"/>
        <v>2.0927154413662596E-5</v>
      </c>
      <c r="S138" s="8">
        <v>6.3225786240000001</v>
      </c>
      <c r="T138" s="8">
        <f t="shared" si="21"/>
        <v>1.7327985874220693E-4</v>
      </c>
      <c r="U138" s="8">
        <v>6.4912247000000006E-2</v>
      </c>
      <c r="V138" s="8">
        <f t="shared" si="22"/>
        <v>1.7790186029641134E-6</v>
      </c>
      <c r="W138" s="8">
        <v>0.22787536799999999</v>
      </c>
      <c r="X138" s="8">
        <f t="shared" si="23"/>
        <v>4.875670364164694E-11</v>
      </c>
      <c r="Y138" s="8">
        <v>6.4534580999999994E-2</v>
      </c>
      <c r="Z138" s="8">
        <f t="shared" si="24"/>
        <v>1.7686680933028616E-6</v>
      </c>
      <c r="AA138" s="8">
        <v>0.202215799</v>
      </c>
      <c r="AB138" s="8">
        <f t="shared" si="25"/>
        <v>5.5420307393495708E-6</v>
      </c>
      <c r="AC138" s="8">
        <v>14.893783819999999</v>
      </c>
      <c r="AD138" s="18">
        <f t="shared" si="26"/>
        <v>4.0818673992761202E-4</v>
      </c>
      <c r="AE138" s="9">
        <v>92.4</v>
      </c>
      <c r="AF138" s="10">
        <v>92.8</v>
      </c>
      <c r="AG138" s="10">
        <v>60.2</v>
      </c>
      <c r="AH138" s="10">
        <v>97.6</v>
      </c>
      <c r="AI138" s="10">
        <v>95.7</v>
      </c>
      <c r="AJ138" s="10">
        <v>91.9</v>
      </c>
      <c r="AK138" s="11">
        <v>36487.671849999999</v>
      </c>
      <c r="AL138" s="11">
        <v>71.194147099999995</v>
      </c>
      <c r="AM138" s="11">
        <v>5712.7412109999996</v>
      </c>
      <c r="AN138" s="11">
        <v>3.2</v>
      </c>
      <c r="AO138" s="11">
        <v>81.302000000000007</v>
      </c>
      <c r="AP138" s="19">
        <v>2.6849735899999998</v>
      </c>
    </row>
    <row r="139" spans="2:42">
      <c r="B139" t="s">
        <v>173</v>
      </c>
      <c r="C139" t="s">
        <v>174</v>
      </c>
      <c r="D139" t="s">
        <v>175</v>
      </c>
      <c r="E139" t="s">
        <v>35</v>
      </c>
      <c r="F139" t="s">
        <v>36</v>
      </c>
      <c r="G139" t="s">
        <v>37</v>
      </c>
      <c r="H139" t="s">
        <v>38</v>
      </c>
      <c r="I139" t="s">
        <v>39</v>
      </c>
      <c r="J139" t="s">
        <v>40</v>
      </c>
      <c r="K139">
        <v>2010</v>
      </c>
      <c r="L139">
        <v>1.6482935580184301E-2</v>
      </c>
      <c r="M139" s="7">
        <v>18.86999934</v>
      </c>
      <c r="N139" s="7">
        <f t="shared" si="18"/>
        <v>6.0916869323275743E-3</v>
      </c>
      <c r="O139" s="8">
        <v>4.067216234</v>
      </c>
      <c r="P139" s="8">
        <f t="shared" si="19"/>
        <v>1.3129946396494348E-3</v>
      </c>
      <c r="Q139" s="8">
        <v>1.4432581470000001</v>
      </c>
      <c r="R139" s="8">
        <f t="shared" si="20"/>
        <v>4.6591823537685457E-4</v>
      </c>
      <c r="S139" s="8">
        <v>3.1728532239999998</v>
      </c>
      <c r="T139" s="8">
        <f t="shared" si="21"/>
        <v>1.0242728775227512E-3</v>
      </c>
      <c r="U139" s="8">
        <v>4.9379924999999998E-2</v>
      </c>
      <c r="V139" s="8">
        <f t="shared" si="22"/>
        <v>1.5941020368992536E-5</v>
      </c>
      <c r="W139" s="14">
        <v>2.8742300000000001E-5</v>
      </c>
      <c r="X139" s="8">
        <f t="shared" si="23"/>
        <v>5.1461424942349533E-9</v>
      </c>
      <c r="Y139" s="8"/>
      <c r="Z139" s="8">
        <f t="shared" si="24"/>
        <v>0</v>
      </c>
      <c r="AA139" s="8">
        <v>7.2306860000000001E-3</v>
      </c>
      <c r="AB139" s="8">
        <f t="shared" si="25"/>
        <v>2.3342383125893605E-6</v>
      </c>
      <c r="AC139" s="8">
        <v>0.61485702099999995</v>
      </c>
      <c r="AD139" s="18">
        <f t="shared" si="26"/>
        <v>1.9849054642709707E-4</v>
      </c>
      <c r="AE139" s="9">
        <v>37.6</v>
      </c>
      <c r="AF139" s="10">
        <v>22</v>
      </c>
      <c r="AG139" s="10">
        <v>63</v>
      </c>
      <c r="AH139" s="10">
        <v>33</v>
      </c>
      <c r="AI139" s="10">
        <v>36.5</v>
      </c>
      <c r="AJ139" s="10">
        <v>38.4</v>
      </c>
      <c r="AK139" s="11">
        <v>3097.6640050000001</v>
      </c>
      <c r="AL139" s="11">
        <v>31.525847800000001</v>
      </c>
      <c r="AM139" s="11">
        <v>575.48572579999995</v>
      </c>
      <c r="AN139" s="11">
        <v>89.2</v>
      </c>
      <c r="AO139" s="11">
        <v>39.354999999999997</v>
      </c>
      <c r="AP139" s="19">
        <v>8.5331964399999993</v>
      </c>
    </row>
    <row r="140" spans="2:42">
      <c r="B140" t="s">
        <v>32</v>
      </c>
      <c r="C140" t="s">
        <v>33</v>
      </c>
      <c r="D140" t="s">
        <v>34</v>
      </c>
      <c r="E140" t="s">
        <v>35</v>
      </c>
      <c r="F140" t="s">
        <v>36</v>
      </c>
      <c r="G140" t="s">
        <v>37</v>
      </c>
      <c r="H140" t="s">
        <v>38</v>
      </c>
      <c r="I140" t="s">
        <v>39</v>
      </c>
      <c r="J140" t="s">
        <v>40</v>
      </c>
      <c r="K140">
        <v>2011</v>
      </c>
      <c r="L140">
        <v>0.80387627011224005</v>
      </c>
      <c r="M140" s="7">
        <v>610.02990969999996</v>
      </c>
      <c r="N140" s="7">
        <f t="shared" si="18"/>
        <v>1.4516662193445655E-2</v>
      </c>
      <c r="O140" s="8">
        <v>81.642642460000005</v>
      </c>
      <c r="P140" s="8">
        <f t="shared" si="19"/>
        <v>1.9428205770351968E-3</v>
      </c>
      <c r="Q140" s="8">
        <v>0.49135437900000001</v>
      </c>
      <c r="R140" s="8">
        <f t="shared" si="20"/>
        <v>1.1692583304187565E-5</v>
      </c>
      <c r="S140" s="8">
        <v>49.198941410000003</v>
      </c>
      <c r="T140" s="8">
        <f t="shared" si="21"/>
        <v>1.1707695005894478E-3</v>
      </c>
      <c r="U140" s="8">
        <v>0.15387967999999999</v>
      </c>
      <c r="V140" s="8">
        <f t="shared" si="22"/>
        <v>3.6618193591426707E-6</v>
      </c>
      <c r="W140" s="8">
        <v>9.8913966000000006E-2</v>
      </c>
      <c r="X140" s="8">
        <f t="shared" si="23"/>
        <v>8.7138997293158139E-11</v>
      </c>
      <c r="Y140" s="8">
        <v>2.8493882000000002E-2</v>
      </c>
      <c r="Z140" s="8">
        <f t="shared" si="24"/>
        <v>6.7805865416880833E-7</v>
      </c>
      <c r="AA140" s="8">
        <v>0.27503499300000001</v>
      </c>
      <c r="AB140" s="8">
        <f t="shared" si="25"/>
        <v>6.5449087352473639E-6</v>
      </c>
      <c r="AC140" s="8">
        <v>14.606004820000001</v>
      </c>
      <c r="AD140" s="18">
        <f t="shared" si="26"/>
        <v>3.4757383957132723E-4</v>
      </c>
      <c r="AE140" s="9">
        <v>96.2</v>
      </c>
      <c r="AF140" s="10">
        <v>94.3</v>
      </c>
      <c r="AG140" s="10">
        <v>74.900000000000006</v>
      </c>
      <c r="AH140" s="10">
        <v>98.1</v>
      </c>
      <c r="AI140" s="10">
        <v>95.8</v>
      </c>
      <c r="AJ140" s="10">
        <v>95.8</v>
      </c>
      <c r="AK140" s="11">
        <v>42022.739220000003</v>
      </c>
      <c r="AL140" s="11">
        <v>51.562813200000001</v>
      </c>
      <c r="AM140" s="11">
        <v>10697.52656</v>
      </c>
      <c r="AN140" s="11">
        <v>8.3000000000000007</v>
      </c>
      <c r="AO140" s="11">
        <v>85.3</v>
      </c>
      <c r="AP140" s="19">
        <v>4.6888151499999999</v>
      </c>
    </row>
    <row r="141" spans="2:42">
      <c r="B141" t="s">
        <v>41</v>
      </c>
      <c r="C141" t="s">
        <v>42</v>
      </c>
      <c r="D141" t="s">
        <v>43</v>
      </c>
      <c r="E141" t="s">
        <v>35</v>
      </c>
      <c r="F141" t="s">
        <v>36</v>
      </c>
      <c r="G141" t="s">
        <v>37</v>
      </c>
      <c r="H141" t="s">
        <v>38</v>
      </c>
      <c r="I141" t="s">
        <v>39</v>
      </c>
      <c r="J141" t="s">
        <v>40</v>
      </c>
      <c r="K141">
        <v>2011</v>
      </c>
      <c r="L141">
        <v>0.48520194525754801</v>
      </c>
      <c r="M141" s="7">
        <v>87.197488949999993</v>
      </c>
      <c r="N141" s="7">
        <f t="shared" si="18"/>
        <v>1.9740639737084306E-3</v>
      </c>
      <c r="O141" s="8">
        <v>5.5543467260000003</v>
      </c>
      <c r="P141" s="8">
        <f t="shared" si="19"/>
        <v>1.2574485689111089E-4</v>
      </c>
      <c r="Q141" s="8">
        <v>0.70517268799999999</v>
      </c>
      <c r="R141" s="8">
        <f t="shared" si="20"/>
        <v>1.59644046564478E-5</v>
      </c>
      <c r="S141" s="8">
        <v>0.76514855400000004</v>
      </c>
      <c r="T141" s="8">
        <f t="shared" si="21"/>
        <v>1.7322198301520012E-5</v>
      </c>
      <c r="U141" s="8">
        <v>6.0983163999999999E-2</v>
      </c>
      <c r="V141" s="8">
        <f t="shared" si="22"/>
        <v>1.3805978647410685E-6</v>
      </c>
      <c r="W141" s="8">
        <v>8.6104695999999994E-2</v>
      </c>
      <c r="X141" s="8">
        <f t="shared" si="23"/>
        <v>3.1255355398214464E-11</v>
      </c>
      <c r="Y141" s="8">
        <v>1.8194334E-2</v>
      </c>
      <c r="Z141" s="8">
        <f t="shared" si="24"/>
        <v>4.1190153188486294E-7</v>
      </c>
      <c r="AA141" s="8">
        <v>3.2249719000000003E-2</v>
      </c>
      <c r="AB141" s="8">
        <f t="shared" si="25"/>
        <v>7.3010139634439882E-7</v>
      </c>
      <c r="AC141" s="8">
        <v>2.3798603169999999</v>
      </c>
      <c r="AD141" s="18">
        <f t="shared" si="26"/>
        <v>5.3877658299792424E-5</v>
      </c>
      <c r="AE141" s="9">
        <v>89.6</v>
      </c>
      <c r="AF141" s="10">
        <v>92.9</v>
      </c>
      <c r="AG141" s="10">
        <v>91.5</v>
      </c>
      <c r="AH141" s="10">
        <v>90.5</v>
      </c>
      <c r="AI141" s="10">
        <v>96.7</v>
      </c>
      <c r="AJ141" s="10">
        <v>94.8</v>
      </c>
      <c r="AK141" s="11">
        <v>44171.561869999998</v>
      </c>
      <c r="AL141" s="11">
        <v>33.413717900000002</v>
      </c>
      <c r="AM141" s="11">
        <v>8406.101165</v>
      </c>
      <c r="AN141" s="11">
        <v>31.6</v>
      </c>
      <c r="AO141" s="11">
        <v>57.115000000000002</v>
      </c>
      <c r="AP141" s="19">
        <v>5.3581277800000002</v>
      </c>
    </row>
    <row r="142" spans="2:42">
      <c r="B142" t="s">
        <v>44</v>
      </c>
      <c r="C142" t="s">
        <v>45</v>
      </c>
      <c r="D142" t="s">
        <v>46</v>
      </c>
      <c r="E142" t="s">
        <v>35</v>
      </c>
      <c r="F142" t="s">
        <v>36</v>
      </c>
      <c r="G142" t="s">
        <v>37</v>
      </c>
      <c r="H142" t="s">
        <v>38</v>
      </c>
      <c r="I142" t="s">
        <v>39</v>
      </c>
      <c r="J142" t="s">
        <v>40</v>
      </c>
      <c r="K142">
        <v>2011</v>
      </c>
      <c r="L142">
        <v>2.3232594754425701E-2</v>
      </c>
      <c r="M142" s="7">
        <v>47.355512859999997</v>
      </c>
      <c r="N142" s="7">
        <f t="shared" si="18"/>
        <v>3.1987081438872426E-3</v>
      </c>
      <c r="O142" s="8">
        <v>7.4882050070000004</v>
      </c>
      <c r="P142" s="8">
        <f t="shared" si="19"/>
        <v>5.0580346178069309E-4</v>
      </c>
      <c r="Q142" s="8">
        <v>5.1028621000000003E-2</v>
      </c>
      <c r="R142" s="8">
        <f t="shared" si="20"/>
        <v>3.4468144405190928E-6</v>
      </c>
      <c r="S142" s="8">
        <v>4.9543605729999998</v>
      </c>
      <c r="T142" s="8">
        <f t="shared" si="21"/>
        <v>3.3465065745270374E-4</v>
      </c>
      <c r="U142" s="8">
        <v>1.0849830000000001E-3</v>
      </c>
      <c r="V142" s="8">
        <f t="shared" si="22"/>
        <v>7.3287010286202463E-8</v>
      </c>
      <c r="W142" s="8">
        <v>9.0671469999999994E-3</v>
      </c>
      <c r="X142" s="8">
        <f t="shared" si="23"/>
        <v>4.9502949600960984E-12</v>
      </c>
      <c r="Y142" s="8">
        <v>5.9084899999999995E-4</v>
      </c>
      <c r="Z142" s="8">
        <f t="shared" si="24"/>
        <v>3.9909894201653323E-8</v>
      </c>
      <c r="AA142" s="8">
        <v>3.5064058000000002E-2</v>
      </c>
      <c r="AB142" s="8">
        <f t="shared" si="25"/>
        <v>2.3684610536036045E-6</v>
      </c>
      <c r="AC142" s="8">
        <v>2.5052459929999999</v>
      </c>
      <c r="AD142" s="18">
        <f t="shared" si="26"/>
        <v>1.6922107430112588E-4</v>
      </c>
      <c r="AE142" s="9">
        <v>9.5</v>
      </c>
      <c r="AF142" s="10">
        <v>24.6</v>
      </c>
      <c r="AG142" s="10">
        <v>29.9</v>
      </c>
      <c r="AH142" s="10">
        <v>37.4</v>
      </c>
      <c r="AI142" s="10">
        <v>17.8</v>
      </c>
      <c r="AJ142" s="10">
        <v>12.7</v>
      </c>
      <c r="AK142" s="11">
        <v>14804.57445</v>
      </c>
      <c r="AL142" s="11">
        <v>57.691935399999998</v>
      </c>
      <c r="AM142" s="11">
        <v>1705.4246330000001</v>
      </c>
      <c r="AN142" s="11">
        <v>3.5</v>
      </c>
      <c r="AO142" s="11">
        <v>53.637</v>
      </c>
      <c r="AP142" s="19">
        <v>6.8005001199999997</v>
      </c>
    </row>
    <row r="143" spans="2:42">
      <c r="B143" t="s">
        <v>47</v>
      </c>
      <c r="C143" t="s">
        <v>48</v>
      </c>
      <c r="D143" t="s">
        <v>49</v>
      </c>
      <c r="E143" t="s">
        <v>35</v>
      </c>
      <c r="F143" t="s">
        <v>36</v>
      </c>
      <c r="G143" t="s">
        <v>37</v>
      </c>
      <c r="H143" t="s">
        <v>38</v>
      </c>
      <c r="I143" t="s">
        <v>39</v>
      </c>
      <c r="J143" t="s">
        <v>40</v>
      </c>
      <c r="K143">
        <v>2011</v>
      </c>
      <c r="L143">
        <v>1.5105806877181001</v>
      </c>
      <c r="M143" s="7">
        <v>2.919219E-2</v>
      </c>
      <c r="N143" s="7">
        <f t="shared" si="18"/>
        <v>7.0777782811402923E-7</v>
      </c>
      <c r="O143" s="8">
        <v>7.2842593530000004</v>
      </c>
      <c r="P143" s="8">
        <f t="shared" si="19"/>
        <v>1.7661015717853452E-4</v>
      </c>
      <c r="Q143" s="8">
        <v>0.26338852200000001</v>
      </c>
      <c r="R143" s="8">
        <f t="shared" si="20"/>
        <v>6.3859736474489996E-6</v>
      </c>
      <c r="S143" s="8">
        <v>2.4802064420000001</v>
      </c>
      <c r="T143" s="8">
        <f t="shared" si="21"/>
        <v>6.013372510911939E-5</v>
      </c>
      <c r="U143" s="8">
        <v>4.3749475000000003E-2</v>
      </c>
      <c r="V143" s="8">
        <f t="shared" si="22"/>
        <v>1.0607257761966135E-6</v>
      </c>
      <c r="W143" s="8">
        <v>7.2591813000000005E-2</v>
      </c>
      <c r="X143" s="8">
        <f t="shared" si="23"/>
        <v>2.5717775408457086E-11</v>
      </c>
      <c r="Y143" s="8">
        <v>6.5589944999999997E-2</v>
      </c>
      <c r="Z143" s="8">
        <f t="shared" si="24"/>
        <v>1.5902578332841292E-6</v>
      </c>
      <c r="AA143" s="8">
        <v>3.4397179E-2</v>
      </c>
      <c r="AB143" s="8">
        <f t="shared" si="25"/>
        <v>8.3397513670161422E-7</v>
      </c>
      <c r="AC143" s="8">
        <v>2.6498292139999999</v>
      </c>
      <c r="AD143" s="18">
        <f t="shared" si="26"/>
        <v>6.4246305808437975E-5</v>
      </c>
      <c r="AE143" s="9">
        <v>90.5</v>
      </c>
      <c r="AF143" s="10">
        <v>94.8</v>
      </c>
      <c r="AG143" s="10">
        <v>78.2</v>
      </c>
      <c r="AH143" s="10">
        <v>86.7</v>
      </c>
      <c r="AI143" s="10">
        <v>90.1</v>
      </c>
      <c r="AJ143" s="10">
        <v>93</v>
      </c>
      <c r="AK143" s="11">
        <v>41244.849499999997</v>
      </c>
      <c r="AL143" s="11">
        <v>44.034549800000001</v>
      </c>
      <c r="AM143" s="11">
        <v>8077.3570920000002</v>
      </c>
      <c r="AN143" s="11">
        <v>6.7</v>
      </c>
      <c r="AO143" s="11">
        <v>97.697999999999993</v>
      </c>
      <c r="AP143" s="19">
        <v>31.036688399999999</v>
      </c>
    </row>
    <row r="144" spans="2:42">
      <c r="B144" t="s">
        <v>50</v>
      </c>
      <c r="C144" t="s">
        <v>51</v>
      </c>
      <c r="D144" t="s">
        <v>52</v>
      </c>
      <c r="E144" t="s">
        <v>35</v>
      </c>
      <c r="F144" t="s">
        <v>36</v>
      </c>
      <c r="G144" t="s">
        <v>37</v>
      </c>
      <c r="H144" t="s">
        <v>38</v>
      </c>
      <c r="I144" t="s">
        <v>39</v>
      </c>
      <c r="J144" t="s">
        <v>40</v>
      </c>
      <c r="K144">
        <v>2011</v>
      </c>
      <c r="L144">
        <v>0.68460868133386099</v>
      </c>
      <c r="M144" s="7">
        <v>191.63342470000001</v>
      </c>
      <c r="N144" s="7">
        <f t="shared" si="18"/>
        <v>1.2169194874647963E-2</v>
      </c>
      <c r="O144" s="8">
        <v>2.176816326</v>
      </c>
      <c r="P144" s="8">
        <f t="shared" si="19"/>
        <v>1.3823320289181894E-4</v>
      </c>
      <c r="Q144" s="8">
        <v>0.35521023800000001</v>
      </c>
      <c r="R144" s="8">
        <f t="shared" si="20"/>
        <v>2.2556725761484987E-5</v>
      </c>
      <c r="S144" s="8">
        <v>1.2594202219999999</v>
      </c>
      <c r="T144" s="8">
        <f t="shared" si="21"/>
        <v>7.9976288763733595E-5</v>
      </c>
      <c r="U144" s="8">
        <v>1.1155203000000001E-2</v>
      </c>
      <c r="V144" s="8">
        <f t="shared" si="22"/>
        <v>7.0838288981044127E-7</v>
      </c>
      <c r="W144" s="8">
        <v>1.0342591E-2</v>
      </c>
      <c r="X144" s="8">
        <f t="shared" si="23"/>
        <v>4.4984059776966116E-11</v>
      </c>
      <c r="Y144" s="8">
        <v>7.4277270000000003E-3</v>
      </c>
      <c r="Z144" s="8">
        <f t="shared" si="24"/>
        <v>4.7167897500234097E-7</v>
      </c>
      <c r="AA144" s="8">
        <v>4.0394487999999999E-2</v>
      </c>
      <c r="AB144" s="8">
        <f t="shared" si="25"/>
        <v>2.5651495666957552E-6</v>
      </c>
      <c r="AC144" s="8">
        <v>6.0673891199999996</v>
      </c>
      <c r="AD144" s="18">
        <f t="shared" si="26"/>
        <v>3.8529416617788395E-4</v>
      </c>
      <c r="AE144" s="9">
        <v>50.2</v>
      </c>
      <c r="AF144" s="10">
        <v>54</v>
      </c>
      <c r="AG144" s="10">
        <v>55.9</v>
      </c>
      <c r="AH144" s="10">
        <v>69.2</v>
      </c>
      <c r="AI144" s="10">
        <v>51.2</v>
      </c>
      <c r="AJ144" s="10">
        <v>61.5</v>
      </c>
      <c r="AK144" s="11">
        <v>15747.42016</v>
      </c>
      <c r="AL144" s="11">
        <v>46.868091399999997</v>
      </c>
      <c r="AM144" s="11">
        <v>4863.6914409999999</v>
      </c>
      <c r="AN144" s="11">
        <v>13.2</v>
      </c>
      <c r="AO144" s="11">
        <v>72.638000000000005</v>
      </c>
      <c r="AP144" s="19">
        <v>3.6473003500000001</v>
      </c>
    </row>
    <row r="145" spans="2:42">
      <c r="B145" t="s">
        <v>53</v>
      </c>
      <c r="C145" t="s">
        <v>54</v>
      </c>
      <c r="D145" t="s">
        <v>55</v>
      </c>
      <c r="E145" t="s">
        <v>35</v>
      </c>
      <c r="F145" t="s">
        <v>36</v>
      </c>
      <c r="G145" t="s">
        <v>37</v>
      </c>
      <c r="H145" t="s">
        <v>38</v>
      </c>
      <c r="I145" t="s">
        <v>39</v>
      </c>
      <c r="J145" t="s">
        <v>40</v>
      </c>
      <c r="K145">
        <v>2011</v>
      </c>
      <c r="L145">
        <v>0.66914196395505698</v>
      </c>
      <c r="M145" s="7">
        <v>10.31027943</v>
      </c>
      <c r="N145" s="7">
        <f t="shared" si="18"/>
        <v>2.4744569203021053E-4</v>
      </c>
      <c r="O145" s="8">
        <v>29.646959389999999</v>
      </c>
      <c r="P145" s="8">
        <f t="shared" si="19"/>
        <v>7.1152410879421707E-4</v>
      </c>
      <c r="Q145" s="8">
        <v>1.03470459</v>
      </c>
      <c r="R145" s="8">
        <f t="shared" si="20"/>
        <v>2.4832808369325182E-5</v>
      </c>
      <c r="S145" s="8">
        <v>71.212430449999999</v>
      </c>
      <c r="T145" s="8">
        <f t="shared" si="21"/>
        <v>1.7090913251662943E-3</v>
      </c>
      <c r="U145" s="8">
        <v>0.27801146599999998</v>
      </c>
      <c r="V145" s="8">
        <f t="shared" si="22"/>
        <v>6.6722478341892372E-6</v>
      </c>
      <c r="W145" s="8">
        <v>0.13756000199999999</v>
      </c>
      <c r="X145" s="8">
        <f t="shared" si="23"/>
        <v>1.6013329162777398E-10</v>
      </c>
      <c r="Y145" s="8">
        <v>0.12857929900000001</v>
      </c>
      <c r="Z145" s="8">
        <f t="shared" si="24"/>
        <v>3.085890526811295E-6</v>
      </c>
      <c r="AA145" s="8">
        <v>0.759601847</v>
      </c>
      <c r="AB145" s="8">
        <f t="shared" si="25"/>
        <v>1.8230369600985789E-5</v>
      </c>
      <c r="AC145" s="8">
        <v>18.639010519999999</v>
      </c>
      <c r="AD145" s="18">
        <f t="shared" si="26"/>
        <v>4.4733441883832375E-4</v>
      </c>
      <c r="AE145" s="9">
        <v>95.3</v>
      </c>
      <c r="AF145" s="10">
        <v>96.2</v>
      </c>
      <c r="AG145" s="10">
        <v>86.3</v>
      </c>
      <c r="AH145" s="10">
        <v>95.7</v>
      </c>
      <c r="AI145" s="10">
        <v>94.4</v>
      </c>
      <c r="AJ145" s="10">
        <v>94.4</v>
      </c>
      <c r="AK145" s="11">
        <v>41666.837460000002</v>
      </c>
      <c r="AL145" s="11">
        <v>6.4356835400000003</v>
      </c>
      <c r="AM145" s="11">
        <v>16596.270489999999</v>
      </c>
      <c r="AN145" s="11">
        <v>21.5</v>
      </c>
      <c r="AO145" s="11">
        <v>81.096000000000004</v>
      </c>
      <c r="AP145" s="19">
        <v>2.1378331099999999</v>
      </c>
    </row>
    <row r="146" spans="2:42">
      <c r="B146" t="s">
        <v>56</v>
      </c>
      <c r="C146" t="s">
        <v>57</v>
      </c>
      <c r="D146" t="s">
        <v>58</v>
      </c>
      <c r="E146" t="s">
        <v>35</v>
      </c>
      <c r="F146" t="s">
        <v>36</v>
      </c>
      <c r="G146" t="s">
        <v>37</v>
      </c>
      <c r="H146" t="s">
        <v>38</v>
      </c>
      <c r="I146" t="s">
        <v>39</v>
      </c>
      <c r="J146" t="s">
        <v>40</v>
      </c>
      <c r="K146">
        <v>2011</v>
      </c>
      <c r="L146">
        <v>7.7521634325740205E-2</v>
      </c>
      <c r="M146" s="7">
        <v>742.24670619999995</v>
      </c>
      <c r="N146" s="7">
        <f t="shared" si="18"/>
        <v>3.6887903000314665E-2</v>
      </c>
      <c r="O146" s="8">
        <v>8.5985903500000003</v>
      </c>
      <c r="P146" s="8">
        <f t="shared" si="19"/>
        <v>4.2732957131476427E-4</v>
      </c>
      <c r="Q146" s="8">
        <v>1.1808965060000001</v>
      </c>
      <c r="R146" s="8">
        <f t="shared" si="20"/>
        <v>5.8687758939008293E-5</v>
      </c>
      <c r="S146" s="8">
        <v>1.8301475570000001</v>
      </c>
      <c r="T146" s="8">
        <f t="shared" si="21"/>
        <v>9.0953998171987931E-5</v>
      </c>
      <c r="U146" s="8">
        <v>7.5565428000000004E-2</v>
      </c>
      <c r="V146" s="8">
        <f t="shared" si="22"/>
        <v>3.7554227657160905E-6</v>
      </c>
      <c r="W146" s="8">
        <v>3.9840252E-2</v>
      </c>
      <c r="X146" s="8">
        <f t="shared" si="23"/>
        <v>1.8663561528770391E-10</v>
      </c>
      <c r="Y146" s="8">
        <v>4.1650100000000002E-2</v>
      </c>
      <c r="Z146" s="8">
        <f t="shared" si="24"/>
        <v>2.0699113056615218E-6</v>
      </c>
      <c r="AA146" s="8">
        <v>6.8286290999999999E-2</v>
      </c>
      <c r="AB146" s="8">
        <f t="shared" si="25"/>
        <v>3.3936669002617671E-6</v>
      </c>
      <c r="AC146" s="8">
        <v>10.66337609</v>
      </c>
      <c r="AD146" s="18">
        <f t="shared" si="26"/>
        <v>5.2994453135074711E-4</v>
      </c>
      <c r="AE146" s="9">
        <v>90</v>
      </c>
      <c r="AF146" s="10">
        <v>82.9</v>
      </c>
      <c r="AG146" s="10">
        <v>62.1</v>
      </c>
      <c r="AH146" s="10">
        <v>91.5</v>
      </c>
      <c r="AI146" s="10">
        <v>86.9</v>
      </c>
      <c r="AJ146" s="10">
        <v>82.6</v>
      </c>
      <c r="AK146" s="11">
        <v>20121.683420000001</v>
      </c>
      <c r="AL146" s="11">
        <v>19.3910935</v>
      </c>
      <c r="AM146" s="11">
        <v>3559.1663720000001</v>
      </c>
      <c r="AN146" s="11">
        <v>28.8</v>
      </c>
      <c r="AO146" s="11">
        <v>87.132000000000005</v>
      </c>
      <c r="AP146" s="19">
        <v>10.4897738</v>
      </c>
    </row>
    <row r="147" spans="2:42">
      <c r="B147" t="s">
        <v>59</v>
      </c>
      <c r="C147" t="s">
        <v>60</v>
      </c>
      <c r="D147" t="s">
        <v>61</v>
      </c>
      <c r="E147" t="s">
        <v>35</v>
      </c>
      <c r="F147" t="s">
        <v>36</v>
      </c>
      <c r="G147" t="s">
        <v>37</v>
      </c>
      <c r="H147" t="s">
        <v>38</v>
      </c>
      <c r="I147" t="s">
        <v>39</v>
      </c>
      <c r="J147" t="s">
        <v>40</v>
      </c>
      <c r="K147">
        <v>2011</v>
      </c>
      <c r="L147">
        <v>7.3581635917670904E-2</v>
      </c>
      <c r="M147" s="7">
        <v>0.224421699</v>
      </c>
      <c r="N147" s="7">
        <f t="shared" si="18"/>
        <v>1.0588048925508094E-5</v>
      </c>
      <c r="O147" s="8">
        <v>1.479899984</v>
      </c>
      <c r="P147" s="8">
        <f t="shared" si="19"/>
        <v>6.9820581099203985E-5</v>
      </c>
      <c r="Q147" s="8">
        <v>0.41676849399999999</v>
      </c>
      <c r="R147" s="8">
        <f t="shared" si="20"/>
        <v>1.9662827724525544E-5</v>
      </c>
      <c r="S147" s="8">
        <v>0.34869685299999997</v>
      </c>
      <c r="T147" s="8">
        <f t="shared" si="21"/>
        <v>1.6451258306063817E-5</v>
      </c>
      <c r="U147" s="8">
        <v>4.749189E-3</v>
      </c>
      <c r="V147" s="8">
        <f t="shared" si="22"/>
        <v>2.240632065105472E-7</v>
      </c>
      <c r="W147" s="8">
        <v>4.4264120000000002E-3</v>
      </c>
      <c r="X147" s="8">
        <f t="shared" si="23"/>
        <v>1.0571135516356186E-11</v>
      </c>
      <c r="Y147" s="8">
        <v>9.8857099999999994E-4</v>
      </c>
      <c r="Z147" s="8">
        <f t="shared" si="24"/>
        <v>4.6640044884155616E-8</v>
      </c>
      <c r="AA147" s="8">
        <v>1.5611623999999999E-2</v>
      </c>
      <c r="AB147" s="8">
        <f t="shared" si="25"/>
        <v>7.3654481476248148E-7</v>
      </c>
      <c r="AC147" s="8">
        <v>1.5294966160000001</v>
      </c>
      <c r="AD147" s="18">
        <f t="shared" si="26"/>
        <v>7.216051332722094E-5</v>
      </c>
      <c r="AE147" s="9">
        <v>58.3</v>
      </c>
      <c r="AF147" s="10">
        <v>68.7</v>
      </c>
      <c r="AG147" s="10">
        <v>68.2</v>
      </c>
      <c r="AH147" s="10">
        <v>64.900000000000006</v>
      </c>
      <c r="AI147" s="10">
        <v>58.2</v>
      </c>
      <c r="AJ147" s="10">
        <v>64.3</v>
      </c>
      <c r="AK147" s="11">
        <v>21195.75576</v>
      </c>
      <c r="AL147" s="11">
        <v>23.695589999999999</v>
      </c>
      <c r="AM147" s="11">
        <v>3900.601361</v>
      </c>
      <c r="AN147" s="11">
        <v>27.2</v>
      </c>
      <c r="AO147" s="11">
        <v>55.322000000000003</v>
      </c>
      <c r="AP147" s="19">
        <v>1.9855408999999999</v>
      </c>
    </row>
    <row r="148" spans="2:42">
      <c r="B148" t="s">
        <v>62</v>
      </c>
      <c r="C148" t="s">
        <v>63</v>
      </c>
      <c r="D148" t="s">
        <v>64</v>
      </c>
      <c r="E148" t="s">
        <v>35</v>
      </c>
      <c r="F148" t="s">
        <v>36</v>
      </c>
      <c r="G148" t="s">
        <v>37</v>
      </c>
      <c r="H148" t="s">
        <v>38</v>
      </c>
      <c r="I148" t="s">
        <v>39</v>
      </c>
      <c r="J148" t="s">
        <v>40</v>
      </c>
      <c r="K148">
        <v>2011</v>
      </c>
      <c r="L148">
        <v>0.30601269498209899</v>
      </c>
      <c r="M148" s="7">
        <v>9.2152091489999997</v>
      </c>
      <c r="N148" s="7">
        <f t="shared" si="18"/>
        <v>2.758539753416055E-4</v>
      </c>
      <c r="O148" s="8">
        <v>0.37142118800000001</v>
      </c>
      <c r="P148" s="8">
        <f t="shared" si="19"/>
        <v>1.1118359830934515E-5</v>
      </c>
      <c r="Q148" s="8">
        <v>6.1076790000000004E-3</v>
      </c>
      <c r="R148" s="8">
        <f t="shared" si="20"/>
        <v>1.8283117670132023E-7</v>
      </c>
      <c r="S148" s="8">
        <v>3.1029909999999998E-3</v>
      </c>
      <c r="T148" s="8">
        <f t="shared" si="21"/>
        <v>9.2886920845644691E-8</v>
      </c>
      <c r="U148" s="8">
        <v>8.5456900000000001E-4</v>
      </c>
      <c r="V148" s="8">
        <f t="shared" si="22"/>
        <v>2.5581216013885231E-8</v>
      </c>
      <c r="W148" s="8">
        <v>2.0839169999999998E-3</v>
      </c>
      <c r="X148" s="8">
        <f t="shared" si="23"/>
        <v>7.6576451140757294E-13</v>
      </c>
      <c r="Y148" s="8"/>
      <c r="Z148" s="8">
        <f t="shared" si="24"/>
        <v>0</v>
      </c>
      <c r="AA148" s="8">
        <v>5.2790179999999999E-3</v>
      </c>
      <c r="AB148" s="8">
        <f t="shared" si="25"/>
        <v>1.5802550736007085E-7</v>
      </c>
      <c r="AC148" s="8">
        <v>0.65099406999999998</v>
      </c>
      <c r="AD148" s="18">
        <f t="shared" si="26"/>
        <v>1.9487273617962179E-5</v>
      </c>
      <c r="AE148" s="9">
        <v>77.7</v>
      </c>
      <c r="AF148" s="10">
        <v>91.9</v>
      </c>
      <c r="AG148" s="10">
        <v>66.8</v>
      </c>
      <c r="AH148" s="10">
        <v>86.3</v>
      </c>
      <c r="AI148" s="10">
        <v>83.1</v>
      </c>
      <c r="AJ148" s="10">
        <v>80.8</v>
      </c>
      <c r="AK148" s="11">
        <v>33406.113279999998</v>
      </c>
      <c r="AL148" s="11">
        <v>12.586580100000001</v>
      </c>
      <c r="AM148" s="11">
        <v>4159.6416200000003</v>
      </c>
      <c r="AN148" s="11">
        <v>7.6</v>
      </c>
      <c r="AO148" s="11">
        <v>67.406000000000006</v>
      </c>
      <c r="AP148" s="19">
        <v>151.736943</v>
      </c>
    </row>
    <row r="149" spans="2:42">
      <c r="B149" t="s">
        <v>65</v>
      </c>
      <c r="C149" t="s">
        <v>66</v>
      </c>
      <c r="D149" t="s">
        <v>67</v>
      </c>
      <c r="E149" t="s">
        <v>35</v>
      </c>
      <c r="F149" t="s">
        <v>36</v>
      </c>
      <c r="G149" t="s">
        <v>37</v>
      </c>
      <c r="H149" t="s">
        <v>38</v>
      </c>
      <c r="I149" t="s">
        <v>39</v>
      </c>
      <c r="J149" t="s">
        <v>40</v>
      </c>
      <c r="K149">
        <v>2011</v>
      </c>
      <c r="L149">
        <v>1.27722487847471</v>
      </c>
      <c r="M149" s="7">
        <v>9.2152091489999997</v>
      </c>
      <c r="N149" s="7">
        <f t="shared" si="18"/>
        <v>3.1518795284516272E-4</v>
      </c>
      <c r="O149" s="8">
        <v>4.9499644570000001</v>
      </c>
      <c r="P149" s="8">
        <f t="shared" si="19"/>
        <v>1.6930371721703694E-4</v>
      </c>
      <c r="Q149" s="8">
        <v>0.90417006200000005</v>
      </c>
      <c r="R149" s="8">
        <f t="shared" si="20"/>
        <v>3.0925343772212621E-5</v>
      </c>
      <c r="S149" s="8">
        <v>3.9032653659999998</v>
      </c>
      <c r="T149" s="8">
        <f t="shared" si="21"/>
        <v>1.3350345067908396E-4</v>
      </c>
      <c r="U149" s="8">
        <v>3.0537867E-2</v>
      </c>
      <c r="V149" s="8">
        <f t="shared" si="22"/>
        <v>1.0444871764014536E-6</v>
      </c>
      <c r="W149" s="8">
        <v>4.0595691000000003E-2</v>
      </c>
      <c r="X149" s="8">
        <f t="shared" si="23"/>
        <v>3.5724612385897192E-11</v>
      </c>
      <c r="Y149" s="8">
        <v>1.4771273E-2</v>
      </c>
      <c r="Z149" s="8">
        <f t="shared" si="24"/>
        <v>5.0522209778518668E-7</v>
      </c>
      <c r="AA149" s="8">
        <v>4.6007564000000001E-2</v>
      </c>
      <c r="AB149" s="8">
        <f t="shared" si="25"/>
        <v>1.5735974819547534E-6</v>
      </c>
      <c r="AC149" s="8">
        <v>5.1580234770000004</v>
      </c>
      <c r="AD149" s="18">
        <f t="shared" si="26"/>
        <v>1.7641996336234414E-4</v>
      </c>
      <c r="AE149" s="9">
        <v>68.7</v>
      </c>
      <c r="AF149" s="10">
        <v>77.3</v>
      </c>
      <c r="AG149" s="10">
        <v>88.6</v>
      </c>
      <c r="AH149" s="10">
        <v>85.3</v>
      </c>
      <c r="AI149" s="10">
        <v>81.2</v>
      </c>
      <c r="AJ149" s="10">
        <v>79.8</v>
      </c>
      <c r="AK149" s="11">
        <v>29237.187099999999</v>
      </c>
      <c r="AL149" s="11">
        <v>45.371487799999997</v>
      </c>
      <c r="AM149" s="11">
        <v>6290.7246969999997</v>
      </c>
      <c r="AN149" s="11">
        <v>12.2</v>
      </c>
      <c r="AO149" s="11">
        <v>73.185000000000002</v>
      </c>
      <c r="AP149" s="19">
        <v>1.80994155</v>
      </c>
    </row>
    <row r="150" spans="2:42">
      <c r="B150" t="s">
        <v>68</v>
      </c>
      <c r="C150" t="s">
        <v>69</v>
      </c>
      <c r="D150" t="s">
        <v>70</v>
      </c>
      <c r="E150" t="s">
        <v>35</v>
      </c>
      <c r="F150" t="s">
        <v>36</v>
      </c>
      <c r="G150" t="s">
        <v>37</v>
      </c>
      <c r="H150" t="s">
        <v>38</v>
      </c>
      <c r="I150" t="s">
        <v>39</v>
      </c>
      <c r="J150" t="s">
        <v>40</v>
      </c>
      <c r="K150">
        <v>2011</v>
      </c>
      <c r="L150">
        <v>0.383517051158348</v>
      </c>
      <c r="M150" s="7">
        <v>742.24670619999995</v>
      </c>
      <c r="N150" s="7">
        <f t="shared" si="18"/>
        <v>1.6700824473221066E-2</v>
      </c>
      <c r="O150" s="8">
        <v>6.9034534560000003</v>
      </c>
      <c r="P150" s="8">
        <f t="shared" si="19"/>
        <v>1.5533024729467957E-4</v>
      </c>
      <c r="Q150" s="8">
        <v>0.35000419799999999</v>
      </c>
      <c r="R150" s="8">
        <f t="shared" si="20"/>
        <v>7.8752234625793919E-6</v>
      </c>
      <c r="S150" s="8">
        <v>0.38893255999999998</v>
      </c>
      <c r="T150" s="8">
        <f t="shared" si="21"/>
        <v>8.7511259561322935E-6</v>
      </c>
      <c r="U150" s="8">
        <v>1.1294780000000001E-2</v>
      </c>
      <c r="V150" s="8">
        <f t="shared" si="22"/>
        <v>2.5413671312785932E-7</v>
      </c>
      <c r="W150" s="8">
        <v>8.1884966000000003E-2</v>
      </c>
      <c r="X150" s="8">
        <f t="shared" si="23"/>
        <v>5.7181697172881498E-12</v>
      </c>
      <c r="Y150" s="16">
        <v>2.016E-8</v>
      </c>
      <c r="Z150" s="8">
        <f t="shared" si="24"/>
        <v>4.5360743074744643E-13</v>
      </c>
      <c r="AA150" s="8">
        <v>2.2098695000000002E-2</v>
      </c>
      <c r="AB150" s="8">
        <f t="shared" si="25"/>
        <v>4.9722878282844448E-7</v>
      </c>
      <c r="AC150" s="8">
        <v>1.3148666609999999</v>
      </c>
      <c r="AD150" s="18">
        <f t="shared" si="26"/>
        <v>2.9584984517444623E-5</v>
      </c>
      <c r="AE150" s="9">
        <v>100</v>
      </c>
      <c r="AF150" s="10">
        <v>99.1</v>
      </c>
      <c r="AG150" s="10">
        <v>87.2</v>
      </c>
      <c r="AH150" s="10">
        <v>99.5</v>
      </c>
      <c r="AI150" s="10">
        <v>99.5</v>
      </c>
      <c r="AJ150" s="10">
        <v>97.2</v>
      </c>
      <c r="AK150" s="11">
        <v>44443.716379999998</v>
      </c>
      <c r="AL150" s="11">
        <v>67.25</v>
      </c>
      <c r="AM150" s="11">
        <v>6165.9736199999998</v>
      </c>
      <c r="AN150" s="11">
        <v>23.8</v>
      </c>
      <c r="AO150" s="11">
        <v>86.956999999999994</v>
      </c>
      <c r="AP150" s="19">
        <v>3.93792637</v>
      </c>
    </row>
    <row r="151" spans="2:42">
      <c r="B151" t="s">
        <v>71</v>
      </c>
      <c r="C151" t="s">
        <v>72</v>
      </c>
      <c r="D151" t="s">
        <v>73</v>
      </c>
      <c r="E151" t="s">
        <v>35</v>
      </c>
      <c r="F151" t="s">
        <v>36</v>
      </c>
      <c r="G151" t="s">
        <v>37</v>
      </c>
      <c r="H151" t="s">
        <v>38</v>
      </c>
      <c r="I151" t="s">
        <v>39</v>
      </c>
      <c r="J151" t="s">
        <v>40</v>
      </c>
      <c r="K151">
        <v>2011</v>
      </c>
      <c r="L151">
        <v>8.8247835312892806E-2</v>
      </c>
      <c r="M151" s="7">
        <v>302.05879490000001</v>
      </c>
      <c r="N151" s="7">
        <f t="shared" si="18"/>
        <v>4.5810364380076678E-2</v>
      </c>
      <c r="O151" s="8">
        <v>1.87476916</v>
      </c>
      <c r="P151" s="8">
        <f t="shared" si="19"/>
        <v>2.8432828243442836E-4</v>
      </c>
      <c r="Q151" s="8">
        <v>0.11209874</v>
      </c>
      <c r="R151" s="8">
        <f t="shared" si="20"/>
        <v>1.7000942242544439E-5</v>
      </c>
      <c r="S151" s="8">
        <v>2.90288E-2</v>
      </c>
      <c r="T151" s="8">
        <f t="shared" si="21"/>
        <v>4.4025200655277126E-6</v>
      </c>
      <c r="U151" s="8">
        <v>5.9417840000000003E-3</v>
      </c>
      <c r="V151" s="8">
        <f t="shared" si="22"/>
        <v>9.0113347038222437E-7</v>
      </c>
      <c r="W151" s="8">
        <v>6.2622049999999999E-3</v>
      </c>
      <c r="X151" s="8">
        <f t="shared" si="23"/>
        <v>1.366662826254053E-10</v>
      </c>
      <c r="Y151" s="8"/>
      <c r="Z151" s="8">
        <f t="shared" si="24"/>
        <v>0</v>
      </c>
      <c r="AA151" s="8">
        <v>1.4793183999999999E-2</v>
      </c>
      <c r="AB151" s="8">
        <f t="shared" si="25"/>
        <v>2.2435405319215227E-6</v>
      </c>
      <c r="AC151" s="8">
        <v>1.1581881620000001</v>
      </c>
      <c r="AD151" s="18">
        <f t="shared" si="26"/>
        <v>1.7565130569853596E-4</v>
      </c>
      <c r="AE151" s="9">
        <v>51.2</v>
      </c>
      <c r="AF151" s="10">
        <v>51.7</v>
      </c>
      <c r="AG151" s="10">
        <v>49.8</v>
      </c>
      <c r="AH151" s="10">
        <v>63.5</v>
      </c>
      <c r="AI151" s="10">
        <v>26.3</v>
      </c>
      <c r="AJ151" s="10">
        <v>50.7</v>
      </c>
      <c r="AK151" s="11">
        <v>6593.6780680000002</v>
      </c>
      <c r="AL151" s="11">
        <v>59.169884199999998</v>
      </c>
      <c r="AM151" s="11">
        <v>898.01082970000004</v>
      </c>
      <c r="AN151" s="11">
        <v>29.5</v>
      </c>
      <c r="AO151" s="11">
        <v>66.325000000000003</v>
      </c>
      <c r="AP151" s="19">
        <v>0.60393085000000002</v>
      </c>
    </row>
    <row r="152" spans="2:42">
      <c r="B152" t="s">
        <v>74</v>
      </c>
      <c r="C152" t="s">
        <v>75</v>
      </c>
      <c r="D152" t="s">
        <v>76</v>
      </c>
      <c r="E152" t="s">
        <v>35</v>
      </c>
      <c r="F152" t="s">
        <v>36</v>
      </c>
      <c r="G152" t="s">
        <v>37</v>
      </c>
      <c r="H152" t="s">
        <v>38</v>
      </c>
      <c r="I152" t="s">
        <v>39</v>
      </c>
      <c r="J152" t="s">
        <v>40</v>
      </c>
      <c r="K152">
        <v>2011</v>
      </c>
      <c r="L152">
        <v>-0.17209072239128201</v>
      </c>
      <c r="M152" s="7">
        <v>5.8158401319999999</v>
      </c>
      <c r="N152" s="7">
        <f t="shared" si="18"/>
        <v>2.359141229889736E-4</v>
      </c>
      <c r="O152" s="8">
        <v>0.82393660300000005</v>
      </c>
      <c r="P152" s="8">
        <f t="shared" si="19"/>
        <v>3.3422218748027158E-5</v>
      </c>
      <c r="Q152" s="8">
        <v>0.14137712699999999</v>
      </c>
      <c r="R152" s="8">
        <f t="shared" si="20"/>
        <v>5.7348311112252113E-6</v>
      </c>
      <c r="S152" s="8">
        <v>4.2715069000000001E-2</v>
      </c>
      <c r="T152" s="8">
        <f t="shared" si="21"/>
        <v>1.7326968783241123E-6</v>
      </c>
      <c r="U152" s="8">
        <v>4.9498320000000004E-3</v>
      </c>
      <c r="V152" s="8">
        <f t="shared" si="22"/>
        <v>2.0078531196165921E-7</v>
      </c>
      <c r="W152" s="8">
        <v>2.1285014000000001E-2</v>
      </c>
      <c r="X152" s="8">
        <f t="shared" si="23"/>
        <v>8.1446686472471808E-12</v>
      </c>
      <c r="Y152" s="8"/>
      <c r="Z152" s="8">
        <f t="shared" si="24"/>
        <v>0</v>
      </c>
      <c r="AA152" s="8">
        <v>3.4558499999999999E-3</v>
      </c>
      <c r="AB152" s="8">
        <f t="shared" si="25"/>
        <v>1.4018332750337786E-7</v>
      </c>
      <c r="AC152" s="8">
        <v>1.642584676</v>
      </c>
      <c r="AD152" s="18">
        <f t="shared" si="26"/>
        <v>6.6629913216064891E-5</v>
      </c>
      <c r="AE152" s="9">
        <v>80.599999999999994</v>
      </c>
      <c r="AF152" s="10">
        <v>81.5</v>
      </c>
      <c r="AG152" s="10">
        <v>67.3</v>
      </c>
      <c r="AH152" s="10">
        <v>91</v>
      </c>
      <c r="AI152" s="10">
        <v>85.9</v>
      </c>
      <c r="AJ152" s="10">
        <v>87.3</v>
      </c>
      <c r="AK152" s="11">
        <v>24652.36103</v>
      </c>
      <c r="AL152" s="11">
        <v>22.3165841</v>
      </c>
      <c r="AM152" s="11">
        <v>6314.4144480000004</v>
      </c>
      <c r="AN152" s="11">
        <v>25.2</v>
      </c>
      <c r="AO152" s="11">
        <v>67.965000000000003</v>
      </c>
      <c r="AP152" s="19">
        <v>4.8024044899999998</v>
      </c>
    </row>
    <row r="153" spans="2:42">
      <c r="B153" t="s">
        <v>77</v>
      </c>
      <c r="C153" t="s">
        <v>78</v>
      </c>
      <c r="D153" t="s">
        <v>79</v>
      </c>
      <c r="E153" t="s">
        <v>35</v>
      </c>
      <c r="F153" t="s">
        <v>36</v>
      </c>
      <c r="G153" t="s">
        <v>37</v>
      </c>
      <c r="H153" t="s">
        <v>38</v>
      </c>
      <c r="I153" t="s">
        <v>39</v>
      </c>
      <c r="J153" t="s">
        <v>40</v>
      </c>
      <c r="K153">
        <v>2011</v>
      </c>
      <c r="L153">
        <v>0.242426691178699</v>
      </c>
      <c r="M153" s="7">
        <v>14.86002888</v>
      </c>
      <c r="N153" s="7">
        <f t="shared" si="18"/>
        <v>3.6380660636880612E-4</v>
      </c>
      <c r="O153" s="8">
        <v>2.6380142819999999</v>
      </c>
      <c r="P153" s="8">
        <f t="shared" si="19"/>
        <v>6.4584465564434528E-5</v>
      </c>
      <c r="Q153" s="8">
        <v>0.53019653200000005</v>
      </c>
      <c r="R153" s="8">
        <f t="shared" si="20"/>
        <v>1.2980392068755531E-5</v>
      </c>
      <c r="S153" s="8">
        <v>0.12631537200000001</v>
      </c>
      <c r="T153" s="8">
        <f t="shared" si="21"/>
        <v>3.0924816627633171E-6</v>
      </c>
      <c r="U153" s="8">
        <v>0.127206826</v>
      </c>
      <c r="V153" s="8">
        <f t="shared" si="22"/>
        <v>3.1143064423174398E-6</v>
      </c>
      <c r="W153" s="8">
        <v>0.13580373900000001</v>
      </c>
      <c r="X153" s="8">
        <f t="shared" si="23"/>
        <v>7.6245158547230076E-11</v>
      </c>
      <c r="Y153" s="8">
        <v>3.6980964999999998E-2</v>
      </c>
      <c r="Z153" s="8">
        <f t="shared" si="24"/>
        <v>9.05376394994839E-7</v>
      </c>
      <c r="AA153" s="8">
        <v>3.0152004E-2</v>
      </c>
      <c r="AB153" s="8">
        <f t="shared" si="25"/>
        <v>7.3818821881446211E-7</v>
      </c>
      <c r="AC153" s="8">
        <v>4.419906503</v>
      </c>
      <c r="AD153" s="18">
        <f t="shared" si="26"/>
        <v>1.082091561402031E-4</v>
      </c>
      <c r="AE153" s="9">
        <v>99.1</v>
      </c>
      <c r="AF153" s="10">
        <v>100</v>
      </c>
      <c r="AG153" s="10">
        <v>98.1</v>
      </c>
      <c r="AH153" s="10">
        <v>97.6</v>
      </c>
      <c r="AI153" s="10">
        <v>100</v>
      </c>
      <c r="AJ153" s="10">
        <v>96.2</v>
      </c>
      <c r="AK153" s="11">
        <v>40845.95667</v>
      </c>
      <c r="AL153" s="11">
        <v>7.5244331799999999</v>
      </c>
      <c r="AM153" s="11">
        <v>15711.9017</v>
      </c>
      <c r="AN153" s="11">
        <v>35.1</v>
      </c>
      <c r="AO153" s="11">
        <v>84.313000000000002</v>
      </c>
      <c r="AP153" s="19">
        <v>-2.1840575000000002</v>
      </c>
    </row>
    <row r="154" spans="2:42">
      <c r="B154" t="s">
        <v>80</v>
      </c>
      <c r="C154" t="s">
        <v>81</v>
      </c>
      <c r="D154" t="s">
        <v>82</v>
      </c>
      <c r="E154" t="s">
        <v>35</v>
      </c>
      <c r="F154" t="s">
        <v>36</v>
      </c>
      <c r="G154" t="s">
        <v>37</v>
      </c>
      <c r="H154" t="s">
        <v>38</v>
      </c>
      <c r="I154" t="s">
        <v>39</v>
      </c>
      <c r="J154" t="s">
        <v>40</v>
      </c>
      <c r="K154">
        <v>2011</v>
      </c>
      <c r="L154">
        <v>0.99136743703388497</v>
      </c>
      <c r="M154" s="7">
        <v>0.16001243300000001</v>
      </c>
      <c r="N154" s="7">
        <f t="shared" si="18"/>
        <v>4.2658178910992042E-6</v>
      </c>
      <c r="O154" s="8">
        <v>48.147579829999998</v>
      </c>
      <c r="P154" s="8">
        <f t="shared" si="19"/>
        <v>1.2835803043626062E-3</v>
      </c>
      <c r="Q154" s="8">
        <v>2.3695771259999998</v>
      </c>
      <c r="R154" s="8">
        <f t="shared" si="20"/>
        <v>6.3171244314685421E-5</v>
      </c>
      <c r="S154" s="8">
        <v>3.243933411</v>
      </c>
      <c r="T154" s="8">
        <f t="shared" si="21"/>
        <v>8.6480962277339204E-5</v>
      </c>
      <c r="U154" s="8">
        <v>0.110639088</v>
      </c>
      <c r="V154" s="8">
        <f t="shared" si="22"/>
        <v>2.9495595573207687E-6</v>
      </c>
      <c r="W154" s="8">
        <v>0.14809227599999999</v>
      </c>
      <c r="X154" s="8">
        <f t="shared" si="23"/>
        <v>7.863316427718827E-11</v>
      </c>
      <c r="Y154" s="8">
        <v>6.6293953000000003E-2</v>
      </c>
      <c r="Z154" s="8">
        <f t="shared" si="24"/>
        <v>1.7673497332491015E-6</v>
      </c>
      <c r="AA154" s="8">
        <v>0.194231183</v>
      </c>
      <c r="AB154" s="8">
        <f t="shared" si="25"/>
        <v>5.1780654785166816E-6</v>
      </c>
      <c r="AC154" s="8">
        <v>22.38567901</v>
      </c>
      <c r="AD154" s="18">
        <f t="shared" si="26"/>
        <v>5.9678631363140327E-4</v>
      </c>
      <c r="AE154" s="9">
        <v>91</v>
      </c>
      <c r="AF154" s="10">
        <v>87.7</v>
      </c>
      <c r="AG154" s="10">
        <v>65.400000000000006</v>
      </c>
      <c r="AH154" s="10">
        <v>84.8</v>
      </c>
      <c r="AI154" s="10">
        <v>89.7</v>
      </c>
      <c r="AJ154" s="10">
        <v>88.7</v>
      </c>
      <c r="AK154" s="11">
        <v>37510.37599</v>
      </c>
      <c r="AL154" s="11">
        <v>52.740810600000003</v>
      </c>
      <c r="AM154" s="11">
        <v>7342.8513229999999</v>
      </c>
      <c r="AN154" s="11">
        <v>10.6</v>
      </c>
      <c r="AO154" s="11">
        <v>78.622</v>
      </c>
      <c r="AP154" s="19">
        <v>1.5400529300000001</v>
      </c>
    </row>
    <row r="155" spans="2:42">
      <c r="B155" t="s">
        <v>83</v>
      </c>
      <c r="C155" t="s">
        <v>84</v>
      </c>
      <c r="D155" t="s">
        <v>85</v>
      </c>
      <c r="E155" t="s">
        <v>35</v>
      </c>
      <c r="F155" t="s">
        <v>36</v>
      </c>
      <c r="G155" t="s">
        <v>37</v>
      </c>
      <c r="H155" t="s">
        <v>38</v>
      </c>
      <c r="I155" t="s">
        <v>39</v>
      </c>
      <c r="J155" t="s">
        <v>40</v>
      </c>
      <c r="K155">
        <v>2011</v>
      </c>
      <c r="L155">
        <v>0.43487263377070301</v>
      </c>
      <c r="M155" s="7">
        <v>20.66556894</v>
      </c>
      <c r="N155" s="7">
        <f t="shared" si="18"/>
        <v>2.4131207122973213E-3</v>
      </c>
      <c r="O155" s="8">
        <v>2.3734145469999999</v>
      </c>
      <c r="P155" s="8">
        <f t="shared" si="19"/>
        <v>2.7714387244126191E-4</v>
      </c>
      <c r="Q155" s="8">
        <v>0.114731976</v>
      </c>
      <c r="R155" s="8">
        <f t="shared" si="20"/>
        <v>1.3397265202435755E-5</v>
      </c>
      <c r="S155" s="8">
        <v>0.114363534</v>
      </c>
      <c r="T155" s="8">
        <f t="shared" si="21"/>
        <v>1.3354242190387956E-5</v>
      </c>
      <c r="U155" s="8">
        <v>5.6833299999999997E-4</v>
      </c>
      <c r="V155" s="8">
        <f t="shared" si="22"/>
        <v>6.6364305660489272E-8</v>
      </c>
      <c r="W155" s="8">
        <v>6.7029100000000005E-4</v>
      </c>
      <c r="X155" s="8">
        <f t="shared" si="23"/>
        <v>7.7493671242015668E-12</v>
      </c>
      <c r="Y155" s="8">
        <v>7.482552E-3</v>
      </c>
      <c r="Z155" s="8">
        <f t="shared" si="24"/>
        <v>8.7373840345097926E-7</v>
      </c>
      <c r="AA155" s="8">
        <v>1.4099141000000001E-2</v>
      </c>
      <c r="AB155" s="8">
        <f t="shared" si="25"/>
        <v>1.6463582140652339E-6</v>
      </c>
      <c r="AC155" s="8">
        <v>1.4656252599999999</v>
      </c>
      <c r="AD155" s="18">
        <f t="shared" si="26"/>
        <v>1.7114121956383682E-4</v>
      </c>
      <c r="AE155" s="9">
        <v>61.1</v>
      </c>
      <c r="AF155" s="10">
        <v>69.7</v>
      </c>
      <c r="AG155" s="10">
        <v>27</v>
      </c>
      <c r="AH155" s="10">
        <v>73.5</v>
      </c>
      <c r="AI155" s="10">
        <v>51.6</v>
      </c>
      <c r="AJ155" s="10">
        <v>41.8</v>
      </c>
      <c r="AK155" s="11">
        <v>8563.8355489999994</v>
      </c>
      <c r="AL155" s="11">
        <v>35.147503200000003</v>
      </c>
      <c r="AM155" s="11">
        <v>2289.134849</v>
      </c>
      <c r="AN155" s="11">
        <v>31.5</v>
      </c>
      <c r="AO155" s="11">
        <v>55.918999999999997</v>
      </c>
      <c r="AP155" s="19">
        <v>7.5610054099999999</v>
      </c>
    </row>
    <row r="156" spans="2:42">
      <c r="B156" t="s">
        <v>86</v>
      </c>
      <c r="C156" t="s">
        <v>87</v>
      </c>
      <c r="D156" t="s">
        <v>88</v>
      </c>
      <c r="E156" t="s">
        <v>35</v>
      </c>
      <c r="F156" t="s">
        <v>36</v>
      </c>
      <c r="G156" t="s">
        <v>37</v>
      </c>
      <c r="H156" t="s">
        <v>38</v>
      </c>
      <c r="I156" t="s">
        <v>39</v>
      </c>
      <c r="J156" t="s">
        <v>40</v>
      </c>
      <c r="K156">
        <v>2011</v>
      </c>
      <c r="L156">
        <v>0.58454238999688102</v>
      </c>
      <c r="M156" s="7">
        <v>13.43414493</v>
      </c>
      <c r="N156" s="7">
        <f t="shared" si="18"/>
        <v>3.0955431862050479E-4</v>
      </c>
      <c r="O156" s="8">
        <v>38.824110599999997</v>
      </c>
      <c r="P156" s="8">
        <f t="shared" si="19"/>
        <v>8.9459888704878786E-4</v>
      </c>
      <c r="Q156" s="8">
        <v>3.175964477</v>
      </c>
      <c r="R156" s="8">
        <f t="shared" si="20"/>
        <v>7.3181696696245389E-5</v>
      </c>
      <c r="S156" s="8">
        <v>13.77499265</v>
      </c>
      <c r="T156" s="8">
        <f t="shared" si="21"/>
        <v>3.1740825232955198E-4</v>
      </c>
      <c r="U156" s="8">
        <v>0.210242176</v>
      </c>
      <c r="V156" s="8">
        <f t="shared" si="22"/>
        <v>4.84447457401163E-6</v>
      </c>
      <c r="W156" s="8">
        <v>0.42674962300000002</v>
      </c>
      <c r="X156" s="8">
        <f t="shared" si="23"/>
        <v>1.1162809643981787E-10</v>
      </c>
      <c r="Y156" s="8">
        <v>0.23379187400000001</v>
      </c>
      <c r="Z156" s="8">
        <f t="shared" si="24"/>
        <v>5.3871150439554558E-6</v>
      </c>
      <c r="AA156" s="8">
        <v>0.325578225</v>
      </c>
      <c r="AB156" s="8">
        <f t="shared" si="25"/>
        <v>7.5020886050206098E-6</v>
      </c>
      <c r="AC156" s="8">
        <v>17.983819579999999</v>
      </c>
      <c r="AD156" s="18">
        <f t="shared" si="26"/>
        <v>4.1438953095178436E-4</v>
      </c>
      <c r="AE156" s="9">
        <v>93.4</v>
      </c>
      <c r="AF156" s="10">
        <v>91</v>
      </c>
      <c r="AG156" s="10">
        <v>71.599999999999994</v>
      </c>
      <c r="AH156" s="10">
        <v>92.9</v>
      </c>
      <c r="AI156" s="10">
        <v>92</v>
      </c>
      <c r="AJ156" s="10">
        <v>93.4</v>
      </c>
      <c r="AK156" s="11">
        <v>43398.344400000002</v>
      </c>
      <c r="AL156" s="11">
        <v>47.965916900000003</v>
      </c>
      <c r="AM156" s="11">
        <v>7281.9573190000001</v>
      </c>
      <c r="AN156" s="11">
        <v>12.5</v>
      </c>
      <c r="AO156" s="11">
        <v>77.16</v>
      </c>
      <c r="AP156" s="19">
        <v>2.5500595000000001</v>
      </c>
    </row>
    <row r="157" spans="2:42">
      <c r="B157" t="s">
        <v>89</v>
      </c>
      <c r="C157" t="s">
        <v>90</v>
      </c>
      <c r="D157" t="s">
        <v>91</v>
      </c>
      <c r="E157" t="s">
        <v>35</v>
      </c>
      <c r="F157" t="s">
        <v>36</v>
      </c>
      <c r="G157" t="s">
        <v>37</v>
      </c>
      <c r="H157" t="s">
        <v>38</v>
      </c>
      <c r="I157" t="s">
        <v>39</v>
      </c>
      <c r="J157" t="s">
        <v>40</v>
      </c>
      <c r="K157">
        <v>2011</v>
      </c>
      <c r="L157">
        <v>0.86027111574556803</v>
      </c>
      <c r="M157" s="7">
        <v>0.47893564100000002</v>
      </c>
      <c r="N157" s="7">
        <f t="shared" si="18"/>
        <v>1.8641014299396736E-5</v>
      </c>
      <c r="O157" s="8">
        <v>4.8659145859999997</v>
      </c>
      <c r="P157" s="8">
        <f t="shared" si="19"/>
        <v>1.8938992134283263E-4</v>
      </c>
      <c r="Q157" s="8">
        <v>0.29528141299999999</v>
      </c>
      <c r="R157" s="8">
        <f t="shared" si="20"/>
        <v>1.1492869961789025E-5</v>
      </c>
      <c r="S157" s="8">
        <v>3.137704807</v>
      </c>
      <c r="T157" s="8">
        <f t="shared" si="21"/>
        <v>1.2212496871698232E-4</v>
      </c>
      <c r="U157" s="8">
        <v>1.5680467999999999E-2</v>
      </c>
      <c r="V157" s="8">
        <f t="shared" si="22"/>
        <v>6.1031128858758896E-7</v>
      </c>
      <c r="W157" s="8">
        <v>2.3393547000000001E-2</v>
      </c>
      <c r="X157" s="8">
        <f t="shared" si="23"/>
        <v>2.3754384689120458E-11</v>
      </c>
      <c r="Y157" s="8">
        <v>3.0695280000000002E-3</v>
      </c>
      <c r="Z157" s="8">
        <f t="shared" si="24"/>
        <v>1.1947140793474307E-7</v>
      </c>
      <c r="AA157" s="8">
        <v>8.6805860999999998E-2</v>
      </c>
      <c r="AB157" s="8">
        <f t="shared" si="25"/>
        <v>3.3786362042169363E-6</v>
      </c>
      <c r="AC157" s="8">
        <v>4.9585817619999997</v>
      </c>
      <c r="AD157" s="18">
        <f t="shared" si="26"/>
        <v>1.9299669019656412E-4</v>
      </c>
      <c r="AE157" s="9">
        <v>55.5</v>
      </c>
      <c r="AF157" s="10">
        <v>66.8</v>
      </c>
      <c r="AG157" s="10">
        <v>41.7</v>
      </c>
      <c r="AH157" s="10">
        <v>66.400000000000006</v>
      </c>
      <c r="AI157" s="10">
        <v>65.7</v>
      </c>
      <c r="AJ157" s="10">
        <v>72.8</v>
      </c>
      <c r="AK157" s="11">
        <v>25692.574089999998</v>
      </c>
      <c r="AL157" s="11">
        <v>57.377812300000002</v>
      </c>
      <c r="AM157" s="11">
        <v>5389.333122</v>
      </c>
      <c r="AN157" s="11">
        <v>11.4</v>
      </c>
      <c r="AO157" s="11">
        <v>76.649000000000001</v>
      </c>
      <c r="AP157" s="19">
        <v>0.38562257</v>
      </c>
    </row>
    <row r="158" spans="2:42">
      <c r="B158" t="s">
        <v>92</v>
      </c>
      <c r="C158" t="s">
        <v>93</v>
      </c>
      <c r="D158" t="s">
        <v>94</v>
      </c>
      <c r="E158" t="s">
        <v>35</v>
      </c>
      <c r="F158" t="s">
        <v>36</v>
      </c>
      <c r="G158" t="s">
        <v>37</v>
      </c>
      <c r="H158" t="s">
        <v>38</v>
      </c>
      <c r="I158" t="s">
        <v>39</v>
      </c>
      <c r="J158" t="s">
        <v>40</v>
      </c>
      <c r="K158">
        <v>2011</v>
      </c>
      <c r="L158">
        <v>0.707275030883461</v>
      </c>
      <c r="M158" s="7">
        <v>20.66556894</v>
      </c>
      <c r="N158" s="7">
        <f t="shared" si="18"/>
        <v>8.9880708844882514E-4</v>
      </c>
      <c r="O158" s="8">
        <v>3.2092676149999999</v>
      </c>
      <c r="P158" s="8">
        <f t="shared" si="19"/>
        <v>1.3958059850498628E-4</v>
      </c>
      <c r="Q158" s="8">
        <v>0.74584065700000002</v>
      </c>
      <c r="R158" s="8">
        <f t="shared" si="20"/>
        <v>3.2438829596768353E-5</v>
      </c>
      <c r="S158" s="8">
        <v>2.243337694</v>
      </c>
      <c r="T158" s="8">
        <f t="shared" si="21"/>
        <v>9.7569431889623132E-5</v>
      </c>
      <c r="U158" s="8">
        <v>9.1073660000000004E-3</v>
      </c>
      <c r="V158" s="8">
        <f t="shared" si="22"/>
        <v>3.9610644844398963E-7</v>
      </c>
      <c r="W158" s="8">
        <v>3.1304005000000003E-2</v>
      </c>
      <c r="X158" s="8">
        <f t="shared" si="23"/>
        <v>1.7227848150487308E-11</v>
      </c>
      <c r="Y158" s="8">
        <v>5.8289190000000001E-3</v>
      </c>
      <c r="Z158" s="8">
        <f t="shared" si="24"/>
        <v>2.5351703262586475E-7</v>
      </c>
      <c r="AA158" s="8">
        <v>2.3680758E-2</v>
      </c>
      <c r="AB158" s="8">
        <f t="shared" si="25"/>
        <v>1.0299466330705929E-6</v>
      </c>
      <c r="AC158" s="8">
        <v>3.7310372740000002</v>
      </c>
      <c r="AD158" s="18">
        <f t="shared" si="26"/>
        <v>1.6227391362291628E-4</v>
      </c>
      <c r="AE158" s="9">
        <v>67.8</v>
      </c>
      <c r="AF158" s="10">
        <v>70.599999999999994</v>
      </c>
      <c r="AG158" s="10">
        <v>70.099999999999994</v>
      </c>
      <c r="AH158" s="10">
        <v>80.099999999999994</v>
      </c>
      <c r="AI158" s="10">
        <v>71.8</v>
      </c>
      <c r="AJ158" s="10">
        <v>73.2</v>
      </c>
      <c r="AK158" s="11">
        <v>22992.21847</v>
      </c>
      <c r="AL158" s="11">
        <v>58.952833300000002</v>
      </c>
      <c r="AM158" s="11">
        <v>3898.8231430000001</v>
      </c>
      <c r="AN158" s="11">
        <v>14.7</v>
      </c>
      <c r="AO158" s="11">
        <v>69.358000000000004</v>
      </c>
      <c r="AP158" s="19">
        <v>7.4544214499999999</v>
      </c>
    </row>
    <row r="159" spans="2:42">
      <c r="B159" t="s">
        <v>95</v>
      </c>
      <c r="C159" t="s">
        <v>96</v>
      </c>
      <c r="D159" t="s">
        <v>97</v>
      </c>
      <c r="E159" t="s">
        <v>35</v>
      </c>
      <c r="F159" t="s">
        <v>36</v>
      </c>
      <c r="G159" t="s">
        <v>37</v>
      </c>
      <c r="H159" t="s">
        <v>38</v>
      </c>
      <c r="I159" t="s">
        <v>39</v>
      </c>
      <c r="J159" t="s">
        <v>40</v>
      </c>
      <c r="K159">
        <v>2011</v>
      </c>
      <c r="L159">
        <v>0.56453161108852501</v>
      </c>
      <c r="M159" s="7">
        <v>66.96497377</v>
      </c>
      <c r="N159" s="7">
        <f t="shared" si="18"/>
        <v>1.6358108795252204E-3</v>
      </c>
      <c r="O159" s="8">
        <v>0.31183783100000001</v>
      </c>
      <c r="P159" s="8">
        <f t="shared" si="19"/>
        <v>7.6175302979939775E-6</v>
      </c>
      <c r="Q159" s="8">
        <v>1.472452E-3</v>
      </c>
      <c r="R159" s="8">
        <f t="shared" si="20"/>
        <v>3.596884857226264E-8</v>
      </c>
      <c r="S159" s="16">
        <v>9.6089999999999998E-7</v>
      </c>
      <c r="T159" s="8">
        <f t="shared" si="21"/>
        <v>2.3472728885618799E-11</v>
      </c>
      <c r="U159" s="8">
        <v>1.1964479999999999E-3</v>
      </c>
      <c r="V159" s="8">
        <f t="shared" si="22"/>
        <v>2.9226662014508105E-8</v>
      </c>
      <c r="W159" s="14">
        <v>2.6688099999999999E-5</v>
      </c>
      <c r="X159" s="8">
        <f t="shared" si="23"/>
        <v>7.1394475356245405E-13</v>
      </c>
      <c r="Y159" s="8">
        <v>3.6984639999999998E-3</v>
      </c>
      <c r="Z159" s="8">
        <f t="shared" si="24"/>
        <v>9.0345553923635378E-8</v>
      </c>
      <c r="AA159" s="8">
        <v>2.39324E-3</v>
      </c>
      <c r="AB159" s="8">
        <f t="shared" si="25"/>
        <v>5.8461727212215979E-8</v>
      </c>
      <c r="AC159" s="8">
        <v>0.24841903800000001</v>
      </c>
      <c r="AD159" s="18">
        <f t="shared" si="26"/>
        <v>6.0683450192530273E-6</v>
      </c>
      <c r="AE159" s="9">
        <v>94.8</v>
      </c>
      <c r="AF159" s="10">
        <v>92.4</v>
      </c>
      <c r="AG159" s="10">
        <v>92.9</v>
      </c>
      <c r="AH159" s="10">
        <v>80.599999999999994</v>
      </c>
      <c r="AI159" s="10">
        <v>93.4</v>
      </c>
      <c r="AJ159" s="10">
        <v>95.3</v>
      </c>
      <c r="AK159" s="11">
        <v>40936.867830000003</v>
      </c>
      <c r="AL159" s="11">
        <v>18.6852868</v>
      </c>
      <c r="AM159" s="11">
        <v>52373.877009999997</v>
      </c>
      <c r="AN159" s="11">
        <v>77.099999999999994</v>
      </c>
      <c r="AO159" s="11">
        <v>93.587000000000003</v>
      </c>
      <c r="AP159" s="19">
        <v>7.2722743899999998</v>
      </c>
    </row>
    <row r="160" spans="2:42">
      <c r="B160" t="s">
        <v>98</v>
      </c>
      <c r="C160" t="s">
        <v>99</v>
      </c>
      <c r="D160" t="s">
        <v>100</v>
      </c>
      <c r="E160" t="s">
        <v>35</v>
      </c>
      <c r="F160" t="s">
        <v>36</v>
      </c>
      <c r="G160" t="s">
        <v>37</v>
      </c>
      <c r="H160" t="s">
        <v>38</v>
      </c>
      <c r="I160" t="s">
        <v>39</v>
      </c>
      <c r="J160" t="s">
        <v>40</v>
      </c>
      <c r="K160">
        <v>2011</v>
      </c>
      <c r="L160">
        <v>0.23516527518965799</v>
      </c>
      <c r="M160" s="7">
        <v>2874.481843</v>
      </c>
      <c r="N160" s="7">
        <f t="shared" si="18"/>
        <v>0.32163862216123879</v>
      </c>
      <c r="O160" s="8">
        <v>116.85450229999999</v>
      </c>
      <c r="P160" s="8">
        <f t="shared" si="19"/>
        <v>1.3075372594416247E-2</v>
      </c>
      <c r="Q160" s="8">
        <v>14.00978982</v>
      </c>
      <c r="R160" s="8">
        <f t="shared" si="20"/>
        <v>1.5676180058143958E-3</v>
      </c>
      <c r="S160" s="8">
        <v>134.66524100000001</v>
      </c>
      <c r="T160" s="8">
        <f t="shared" si="21"/>
        <v>1.5068295760409561E-2</v>
      </c>
      <c r="U160" s="8">
        <v>0.496775199</v>
      </c>
      <c r="V160" s="8">
        <f t="shared" si="22"/>
        <v>5.5586397569127108E-5</v>
      </c>
      <c r="W160" s="8">
        <v>8.9227954999999998E-2</v>
      </c>
      <c r="X160" s="8">
        <f t="shared" si="23"/>
        <v>6.2198104916124444E-9</v>
      </c>
      <c r="Y160" s="8">
        <v>6.3042125000000004E-2</v>
      </c>
      <c r="Z160" s="8">
        <f t="shared" si="24"/>
        <v>7.0540651604723274E-6</v>
      </c>
      <c r="AA160" s="8">
        <v>0.76958241400000005</v>
      </c>
      <c r="AB160" s="8">
        <f t="shared" si="25"/>
        <v>8.6112016286087935E-5</v>
      </c>
      <c r="AC160" s="8">
        <v>38.738149139999997</v>
      </c>
      <c r="AD160" s="18">
        <f t="shared" si="26"/>
        <v>4.3345846642963738E-3</v>
      </c>
      <c r="AE160" s="9">
        <v>23.7</v>
      </c>
      <c r="AF160" s="10">
        <v>44.1</v>
      </c>
      <c r="AG160" s="10">
        <v>20.9</v>
      </c>
      <c r="AH160" s="10">
        <v>41.7</v>
      </c>
      <c r="AI160" s="10">
        <v>31.9</v>
      </c>
      <c r="AJ160" s="10">
        <v>48.8</v>
      </c>
      <c r="AK160" s="11">
        <v>8936.9921549999999</v>
      </c>
      <c r="AL160" s="11">
        <v>27.1320823</v>
      </c>
      <c r="AM160" s="11">
        <v>668.4089414</v>
      </c>
      <c r="AN160" s="11">
        <v>32.4</v>
      </c>
      <c r="AO160" s="11">
        <v>50.594999999999999</v>
      </c>
      <c r="AP160" s="19">
        <v>2.3029842899999999</v>
      </c>
    </row>
    <row r="161" spans="2:42">
      <c r="B161" t="s">
        <v>101</v>
      </c>
      <c r="C161" t="s">
        <v>102</v>
      </c>
      <c r="D161" t="s">
        <v>103</v>
      </c>
      <c r="E161" t="s">
        <v>35</v>
      </c>
      <c r="F161" t="s">
        <v>36</v>
      </c>
      <c r="G161" t="s">
        <v>37</v>
      </c>
      <c r="H161" t="s">
        <v>38</v>
      </c>
      <c r="I161" t="s">
        <v>39</v>
      </c>
      <c r="J161" t="s">
        <v>40</v>
      </c>
      <c r="K161">
        <v>2011</v>
      </c>
      <c r="L161">
        <v>0.75000116480879697</v>
      </c>
      <c r="M161" s="7">
        <v>62.554041769999998</v>
      </c>
      <c r="N161" s="7">
        <f t="shared" si="18"/>
        <v>1.3740374529648386E-3</v>
      </c>
      <c r="O161" s="8">
        <v>15.05540027</v>
      </c>
      <c r="P161" s="8">
        <f t="shared" si="19"/>
        <v>3.3070099477213914E-4</v>
      </c>
      <c r="Q161" s="8">
        <v>0.197057915</v>
      </c>
      <c r="R161" s="8">
        <f t="shared" si="20"/>
        <v>4.3284965759481358E-6</v>
      </c>
      <c r="S161" s="8">
        <v>1.116399827</v>
      </c>
      <c r="T161" s="8">
        <f t="shared" si="21"/>
        <v>2.4522399054910284E-5</v>
      </c>
      <c r="U161" s="8">
        <v>8.5927539999999993E-3</v>
      </c>
      <c r="V161" s="8">
        <f t="shared" si="22"/>
        <v>1.8874505125543749E-7</v>
      </c>
      <c r="W161" s="8">
        <v>1.4619699999999999E-2</v>
      </c>
      <c r="X161" s="8">
        <f t="shared" si="23"/>
        <v>4.1458994838462415E-12</v>
      </c>
      <c r="Y161" s="8"/>
      <c r="Z161" s="8">
        <f t="shared" si="24"/>
        <v>0</v>
      </c>
      <c r="AA161" s="8">
        <v>1.7707549999999999E-2</v>
      </c>
      <c r="AB161" s="8">
        <f t="shared" si="25"/>
        <v>3.8895707154635433E-7</v>
      </c>
      <c r="AC161" s="8">
        <v>1.0743214210000001</v>
      </c>
      <c r="AD161" s="18">
        <f t="shared" si="26"/>
        <v>2.3598121355674733E-5</v>
      </c>
      <c r="AE161" s="9">
        <v>91.9</v>
      </c>
      <c r="AF161" s="10">
        <v>88.6</v>
      </c>
      <c r="AG161" s="10">
        <v>77.7</v>
      </c>
      <c r="AH161" s="10">
        <v>93.4</v>
      </c>
      <c r="AI161" s="10">
        <v>96.2</v>
      </c>
      <c r="AJ161" s="10">
        <v>92.5</v>
      </c>
      <c r="AK161" s="11">
        <v>45525.718119999998</v>
      </c>
      <c r="AL161" s="11">
        <v>66.119901299999995</v>
      </c>
      <c r="AM161" s="11">
        <v>5595.0938889999998</v>
      </c>
      <c r="AN161" s="11">
        <v>7</v>
      </c>
      <c r="AO161" s="11">
        <v>61.741999999999997</v>
      </c>
      <c r="AP161" s="19">
        <v>9.8200096200000004</v>
      </c>
    </row>
    <row r="162" spans="2:42">
      <c r="B162" t="s">
        <v>104</v>
      </c>
      <c r="C162" t="s">
        <v>105</v>
      </c>
      <c r="D162" t="s">
        <v>106</v>
      </c>
      <c r="E162" t="s">
        <v>35</v>
      </c>
      <c r="F162" t="s">
        <v>36</v>
      </c>
      <c r="G162" t="s">
        <v>37</v>
      </c>
      <c r="H162" t="s">
        <v>38</v>
      </c>
      <c r="I162" t="s">
        <v>39</v>
      </c>
      <c r="J162" t="s">
        <v>40</v>
      </c>
      <c r="K162">
        <v>2011</v>
      </c>
      <c r="L162">
        <v>0.57542163145847802</v>
      </c>
      <c r="M162" s="7">
        <v>4.8353457530000004</v>
      </c>
      <c r="N162" s="7">
        <f t="shared" si="18"/>
        <v>1.5441515046329138E-4</v>
      </c>
      <c r="O162" s="8">
        <v>1.5701982889999999</v>
      </c>
      <c r="P162" s="8">
        <f t="shared" si="19"/>
        <v>5.0143757538477237E-5</v>
      </c>
      <c r="Q162" s="8">
        <v>2.0380924000000002E-2</v>
      </c>
      <c r="R162" s="8">
        <f t="shared" si="20"/>
        <v>6.508579958503138E-7</v>
      </c>
      <c r="S162" s="8">
        <v>0.21880935800000001</v>
      </c>
      <c r="T162" s="8">
        <f t="shared" si="21"/>
        <v>6.9876037132160358E-6</v>
      </c>
      <c r="U162" s="8">
        <v>7.7215300000000003E-4</v>
      </c>
      <c r="V162" s="8">
        <f t="shared" si="22"/>
        <v>2.4658447971731181E-8</v>
      </c>
      <c r="W162" s="8">
        <v>2.6349254999999999E-2</v>
      </c>
      <c r="X162" s="8">
        <f t="shared" si="23"/>
        <v>7.8745929417430685E-13</v>
      </c>
      <c r="Y162" s="8">
        <v>1.73712E-3</v>
      </c>
      <c r="Z162" s="8">
        <f t="shared" si="24"/>
        <v>5.547434658759814E-8</v>
      </c>
      <c r="AA162" s="8">
        <v>5.2839886000000003E-2</v>
      </c>
      <c r="AB162" s="8">
        <f t="shared" si="25"/>
        <v>1.6874240982851931E-6</v>
      </c>
      <c r="AC162" s="8">
        <v>5.3449150259999998</v>
      </c>
      <c r="AD162" s="18">
        <f t="shared" si="26"/>
        <v>1.7068807487887142E-4</v>
      </c>
      <c r="AE162" s="9">
        <v>76.3</v>
      </c>
      <c r="AF162" s="10">
        <v>87.2</v>
      </c>
      <c r="AG162" s="10">
        <v>13.3</v>
      </c>
      <c r="AH162" s="10">
        <v>87.2</v>
      </c>
      <c r="AI162" s="10">
        <v>80.8</v>
      </c>
      <c r="AJ162" s="10">
        <v>67.599999999999994</v>
      </c>
      <c r="AK162" s="11">
        <v>31313.933499999999</v>
      </c>
      <c r="AL162" s="11">
        <v>23.8909427</v>
      </c>
      <c r="AM162" s="11">
        <v>6929.8720030000004</v>
      </c>
      <c r="AN162" s="11">
        <v>9.1</v>
      </c>
      <c r="AO162" s="11">
        <v>91.891999999999996</v>
      </c>
      <c r="AP162" s="19">
        <v>3.22758726</v>
      </c>
    </row>
    <row r="163" spans="2:42">
      <c r="B163" t="s">
        <v>107</v>
      </c>
      <c r="C163" t="s">
        <v>108</v>
      </c>
      <c r="D163" t="s">
        <v>109</v>
      </c>
      <c r="E163" t="s">
        <v>35</v>
      </c>
      <c r="F163" t="s">
        <v>36</v>
      </c>
      <c r="G163" t="s">
        <v>37</v>
      </c>
      <c r="H163" t="s">
        <v>38</v>
      </c>
      <c r="I163" t="s">
        <v>39</v>
      </c>
      <c r="J163" t="s">
        <v>40</v>
      </c>
      <c r="K163">
        <v>2011</v>
      </c>
      <c r="L163">
        <v>0.85124784989410196</v>
      </c>
      <c r="M163" s="7">
        <v>83.069793290000007</v>
      </c>
      <c r="N163" s="7">
        <f t="shared" si="18"/>
        <v>2.2826211203121455E-3</v>
      </c>
      <c r="O163" s="8">
        <v>21.964262430000002</v>
      </c>
      <c r="P163" s="8">
        <f t="shared" si="19"/>
        <v>6.035417608392194E-4</v>
      </c>
      <c r="Q163" s="8">
        <v>1.7985024489999999</v>
      </c>
      <c r="R163" s="8">
        <f t="shared" si="20"/>
        <v>4.9419885525521294E-5</v>
      </c>
      <c r="S163" s="8">
        <v>4.6428682539999997</v>
      </c>
      <c r="T163" s="8">
        <f t="shared" si="21"/>
        <v>1.2757837374663308E-4</v>
      </c>
      <c r="U163" s="8">
        <v>6.7674329000000005E-2</v>
      </c>
      <c r="V163" s="8">
        <f t="shared" si="22"/>
        <v>1.8595791148663965E-6</v>
      </c>
      <c r="W163" s="8">
        <v>0.24203396999999999</v>
      </c>
      <c r="X163" s="8">
        <f t="shared" si="23"/>
        <v>5.1098171722504855E-11</v>
      </c>
      <c r="Y163" s="8">
        <v>4.5297328999999997E-2</v>
      </c>
      <c r="Z163" s="8">
        <f t="shared" si="24"/>
        <v>1.2446960052996158E-6</v>
      </c>
      <c r="AA163" s="8">
        <v>0.401565324</v>
      </c>
      <c r="AB163" s="8">
        <f t="shared" si="25"/>
        <v>1.103435380593072E-5</v>
      </c>
      <c r="AC163" s="8">
        <v>18.330087670000001</v>
      </c>
      <c r="AD163" s="18">
        <f t="shared" si="26"/>
        <v>5.036806231917282E-4</v>
      </c>
      <c r="AE163" s="9">
        <v>65.900000000000006</v>
      </c>
      <c r="AF163" s="10">
        <v>65.900000000000006</v>
      </c>
      <c r="AG163" s="10">
        <v>62.6</v>
      </c>
      <c r="AH163" s="10">
        <v>74.900000000000006</v>
      </c>
      <c r="AI163" s="10">
        <v>64.3</v>
      </c>
      <c r="AJ163" s="10">
        <v>75.099999999999994</v>
      </c>
      <c r="AK163" s="11">
        <v>36392.282780000001</v>
      </c>
      <c r="AL163" s="11">
        <v>46.843952700000003</v>
      </c>
      <c r="AM163" s="11">
        <v>5455.3095670000002</v>
      </c>
      <c r="AN163" s="11">
        <v>11.9</v>
      </c>
      <c r="AO163" s="11">
        <v>68.444000000000003</v>
      </c>
      <c r="AP163" s="19">
        <v>1.4939692200000001</v>
      </c>
    </row>
    <row r="164" spans="2:42">
      <c r="B164" t="s">
        <v>110</v>
      </c>
      <c r="C164" t="s">
        <v>111</v>
      </c>
      <c r="D164" t="s">
        <v>112</v>
      </c>
      <c r="E164" t="s">
        <v>35</v>
      </c>
      <c r="F164" t="s">
        <v>36</v>
      </c>
      <c r="G164" t="s">
        <v>37</v>
      </c>
      <c r="H164" t="s">
        <v>38</v>
      </c>
      <c r="I164" t="s">
        <v>39</v>
      </c>
      <c r="J164" t="s">
        <v>40</v>
      </c>
      <c r="K164">
        <v>2011</v>
      </c>
      <c r="L164">
        <v>1.19109721621658</v>
      </c>
      <c r="M164" s="7">
        <v>1.393276534</v>
      </c>
      <c r="N164" s="7">
        <f t="shared" si="18"/>
        <v>3.847295561794632E-5</v>
      </c>
      <c r="O164" s="8">
        <v>46.424052879999998</v>
      </c>
      <c r="P164" s="8">
        <f t="shared" si="19"/>
        <v>1.2819210562096733E-3</v>
      </c>
      <c r="Q164" s="8">
        <v>1.1501043849999999</v>
      </c>
      <c r="R164" s="8">
        <f t="shared" si="20"/>
        <v>3.1758171389765502E-5</v>
      </c>
      <c r="S164" s="8">
        <v>4.3080818540000001</v>
      </c>
      <c r="T164" s="8">
        <f t="shared" si="21"/>
        <v>1.1896033409217089E-4</v>
      </c>
      <c r="U164" s="8">
        <v>0.38484022400000001</v>
      </c>
      <c r="V164" s="8">
        <f t="shared" si="22"/>
        <v>1.062670654148297E-5</v>
      </c>
      <c r="W164" s="8">
        <v>0.58291335399999999</v>
      </c>
      <c r="X164" s="8">
        <f t="shared" si="23"/>
        <v>2.9343838007639488E-10</v>
      </c>
      <c r="Y164" s="8">
        <v>0.31953451599999999</v>
      </c>
      <c r="Z164" s="8">
        <f t="shared" si="24"/>
        <v>8.8234007768553707E-6</v>
      </c>
      <c r="AA164" s="8">
        <v>0.76481970600000004</v>
      </c>
      <c r="AB164" s="8">
        <f t="shared" si="25"/>
        <v>2.1119191981359211E-5</v>
      </c>
      <c r="AC164" s="8">
        <v>9.8564605390000004</v>
      </c>
      <c r="AD164" s="18">
        <f t="shared" si="26"/>
        <v>2.721693501707869E-4</v>
      </c>
      <c r="AE164" s="9">
        <v>91.5</v>
      </c>
      <c r="AF164" s="10">
        <v>89.6</v>
      </c>
      <c r="AG164" s="10">
        <v>82</v>
      </c>
      <c r="AH164" s="10">
        <v>81.5</v>
      </c>
      <c r="AI164" s="10">
        <v>87.8</v>
      </c>
      <c r="AJ164" s="10">
        <v>82.2</v>
      </c>
      <c r="AK164" s="11">
        <v>36214.439769999997</v>
      </c>
      <c r="AL164" s="11">
        <v>13.4951989</v>
      </c>
      <c r="AM164" s="11">
        <v>8322.4597720000002</v>
      </c>
      <c r="AN164" s="11">
        <v>4.8</v>
      </c>
      <c r="AO164" s="11">
        <v>91.069000000000003</v>
      </c>
      <c r="AP164" s="19">
        <v>-1.36483E-2</v>
      </c>
    </row>
    <row r="165" spans="2:42">
      <c r="B165" t="s">
        <v>113</v>
      </c>
      <c r="C165" t="s">
        <v>114</v>
      </c>
      <c r="D165" t="s">
        <v>115</v>
      </c>
      <c r="E165" t="s">
        <v>35</v>
      </c>
      <c r="F165" t="s">
        <v>36</v>
      </c>
      <c r="G165" t="s">
        <v>37</v>
      </c>
      <c r="H165" t="s">
        <v>38</v>
      </c>
      <c r="I165" t="s">
        <v>39</v>
      </c>
      <c r="J165" t="s">
        <v>40</v>
      </c>
      <c r="K165">
        <v>2011</v>
      </c>
      <c r="L165">
        <v>0.701301103692623</v>
      </c>
      <c r="M165" s="7">
        <v>14.77129117</v>
      </c>
      <c r="N165" s="7">
        <f t="shared" si="18"/>
        <v>7.9335775044600673E-4</v>
      </c>
      <c r="O165" s="8">
        <v>1.143035021</v>
      </c>
      <c r="P165" s="8">
        <f t="shared" si="19"/>
        <v>6.1391768837602844E-5</v>
      </c>
      <c r="Q165" s="8">
        <v>0.25697410500000001</v>
      </c>
      <c r="R165" s="8">
        <f t="shared" si="20"/>
        <v>1.3801934815267469E-5</v>
      </c>
      <c r="S165" s="8">
        <v>0.141636923</v>
      </c>
      <c r="T165" s="8">
        <f t="shared" si="21"/>
        <v>7.6072395647843878E-6</v>
      </c>
      <c r="U165" s="8">
        <v>1.2050725999999999E-2</v>
      </c>
      <c r="V165" s="8">
        <f t="shared" si="22"/>
        <v>6.4723772353891017E-7</v>
      </c>
      <c r="W165" s="8">
        <v>8.0897199999999999E-3</v>
      </c>
      <c r="X165" s="8">
        <f t="shared" si="23"/>
        <v>3.4762774522616372E-11</v>
      </c>
      <c r="Y165" s="8">
        <v>1.0093999999999999E-3</v>
      </c>
      <c r="Z165" s="8">
        <f t="shared" si="24"/>
        <v>5.4214306933887292E-8</v>
      </c>
      <c r="AA165" s="8">
        <v>8.6327969999999993E-3</v>
      </c>
      <c r="AB165" s="8">
        <f t="shared" si="25"/>
        <v>4.6366267709128334E-7</v>
      </c>
      <c r="AC165" s="8">
        <v>0.74129382499999996</v>
      </c>
      <c r="AD165" s="18">
        <f t="shared" si="26"/>
        <v>3.9814474892753453E-5</v>
      </c>
      <c r="AE165" s="9">
        <v>65.400000000000006</v>
      </c>
      <c r="AF165" s="10">
        <v>72</v>
      </c>
      <c r="AG165" s="10">
        <v>57.8</v>
      </c>
      <c r="AH165" s="10">
        <v>78.2</v>
      </c>
      <c r="AI165" s="10">
        <v>70.900000000000006</v>
      </c>
      <c r="AJ165" s="10">
        <v>70</v>
      </c>
      <c r="AK165" s="11">
        <v>18618.701539999998</v>
      </c>
      <c r="AL165" s="11">
        <v>29.1834734</v>
      </c>
      <c r="AM165" s="11">
        <v>3264.05332</v>
      </c>
      <c r="AN165" s="11">
        <v>35.5</v>
      </c>
      <c r="AO165" s="11">
        <v>67.869</v>
      </c>
      <c r="AP165" s="19">
        <v>5.7177330900000003</v>
      </c>
    </row>
    <row r="166" spans="2:42">
      <c r="B166" t="s">
        <v>116</v>
      </c>
      <c r="C166" t="s">
        <v>117</v>
      </c>
      <c r="D166" t="s">
        <v>118</v>
      </c>
      <c r="E166" t="s">
        <v>35</v>
      </c>
      <c r="F166" t="s">
        <v>36</v>
      </c>
      <c r="G166" t="s">
        <v>37</v>
      </c>
      <c r="H166" t="s">
        <v>38</v>
      </c>
      <c r="I166" t="s">
        <v>39</v>
      </c>
      <c r="J166" t="s">
        <v>40</v>
      </c>
      <c r="K166">
        <v>2011</v>
      </c>
      <c r="L166">
        <v>0.75926647337565301</v>
      </c>
      <c r="M166" s="7">
        <v>62.56015627</v>
      </c>
      <c r="N166" s="7">
        <f t="shared" si="18"/>
        <v>2.7557652920581197E-3</v>
      </c>
      <c r="O166" s="8">
        <v>2.4720005469999999</v>
      </c>
      <c r="P166" s="8">
        <f t="shared" si="19"/>
        <v>1.0889124509169463E-4</v>
      </c>
      <c r="Q166" s="8">
        <v>0.23817859999999999</v>
      </c>
      <c r="R166" s="8">
        <f t="shared" si="20"/>
        <v>1.0491730812791239E-5</v>
      </c>
      <c r="S166" s="8">
        <v>0.248273772</v>
      </c>
      <c r="T166" s="8">
        <f t="shared" si="21"/>
        <v>1.0936421591613633E-5</v>
      </c>
      <c r="U166" s="8">
        <v>4.4480409999999998E-3</v>
      </c>
      <c r="V166" s="8">
        <f t="shared" si="22"/>
        <v>1.9593552408259499E-7</v>
      </c>
      <c r="W166" s="8">
        <v>9.8911959999999997E-3</v>
      </c>
      <c r="X166" s="8">
        <f t="shared" si="23"/>
        <v>8.6309297952786766E-12</v>
      </c>
      <c r="Y166" s="8">
        <v>3.6064000000000001E-3</v>
      </c>
      <c r="Z166" s="8">
        <f t="shared" si="24"/>
        <v>1.5886136707181218E-7</v>
      </c>
      <c r="AA166" s="8">
        <v>1.8277717999999998E-2</v>
      </c>
      <c r="AB166" s="8">
        <f t="shared" si="25"/>
        <v>8.0513067558592183E-7</v>
      </c>
      <c r="AC166" s="8">
        <v>1.470295135</v>
      </c>
      <c r="AD166" s="18">
        <f t="shared" si="26"/>
        <v>6.4766275273162889E-5</v>
      </c>
      <c r="AE166" s="9">
        <v>67.3</v>
      </c>
      <c r="AF166" s="10">
        <v>73</v>
      </c>
      <c r="AG166" s="10">
        <v>68.7</v>
      </c>
      <c r="AH166" s="10">
        <v>77.7</v>
      </c>
      <c r="AI166" s="10">
        <v>72.3</v>
      </c>
      <c r="AJ166" s="10">
        <v>74.599999999999994</v>
      </c>
      <c r="AK166" s="11">
        <v>22701.554609999999</v>
      </c>
      <c r="AL166" s="11">
        <v>44.769761000000003</v>
      </c>
      <c r="AM166" s="11">
        <v>3529.9187780000002</v>
      </c>
      <c r="AN166" s="11">
        <v>22.7</v>
      </c>
      <c r="AO166" s="11">
        <v>66.741</v>
      </c>
      <c r="AP166" s="19">
        <v>4.3550901499999997</v>
      </c>
    </row>
    <row r="167" spans="2:42">
      <c r="B167" t="s">
        <v>119</v>
      </c>
      <c r="C167" t="s">
        <v>120</v>
      </c>
      <c r="D167" t="s">
        <v>121</v>
      </c>
      <c r="E167" t="s">
        <v>35</v>
      </c>
      <c r="F167" t="s">
        <v>36</v>
      </c>
      <c r="G167" t="s">
        <v>37</v>
      </c>
      <c r="H167" t="s">
        <v>38</v>
      </c>
      <c r="I167" t="s">
        <v>39</v>
      </c>
      <c r="J167" t="s">
        <v>40</v>
      </c>
      <c r="K167">
        <v>2011</v>
      </c>
      <c r="L167">
        <v>0.768246569532121</v>
      </c>
      <c r="M167" s="7">
        <v>12.084289399999999</v>
      </c>
      <c r="N167" s="7">
        <f t="shared" si="18"/>
        <v>1.2790987598078273E-4</v>
      </c>
      <c r="O167" s="8">
        <v>0.47606214299999999</v>
      </c>
      <c r="P167" s="8">
        <f t="shared" si="19"/>
        <v>5.0390260986529878E-6</v>
      </c>
      <c r="Q167" s="8">
        <v>7.4973679999999999E-3</v>
      </c>
      <c r="R167" s="8">
        <f t="shared" si="20"/>
        <v>7.9358196358843336E-8</v>
      </c>
      <c r="S167" s="8">
        <v>2.3622200999999999E-2</v>
      </c>
      <c r="T167" s="8">
        <f t="shared" si="21"/>
        <v>2.5003644817568846E-7</v>
      </c>
      <c r="U167" s="8">
        <v>2.4655129999999999E-3</v>
      </c>
      <c r="V167" s="8">
        <f t="shared" si="22"/>
        <v>2.6096980270847168E-8</v>
      </c>
      <c r="W167" s="8">
        <v>2.9058930000000001E-3</v>
      </c>
      <c r="X167" s="8">
        <f t="shared" si="23"/>
        <v>2.7623151013885807E-13</v>
      </c>
      <c r="Y167" s="8"/>
      <c r="Z167" s="8">
        <f t="shared" si="24"/>
        <v>0</v>
      </c>
      <c r="AA167" s="8">
        <v>6.9794499999999999E-3</v>
      </c>
      <c r="AB167" s="8">
        <f t="shared" si="25"/>
        <v>7.3876134074881884E-8</v>
      </c>
      <c r="AC167" s="8">
        <v>0.10613932399999999</v>
      </c>
      <c r="AD167" s="18">
        <f t="shared" si="26"/>
        <v>1.1234643031243621E-6</v>
      </c>
      <c r="AE167" s="9">
        <v>98.1</v>
      </c>
      <c r="AF167" s="10">
        <v>95.3</v>
      </c>
      <c r="AG167" s="10">
        <v>96.2</v>
      </c>
      <c r="AH167" s="10">
        <v>98.6</v>
      </c>
      <c r="AI167" s="10">
        <v>97.7</v>
      </c>
      <c r="AJ167" s="10">
        <v>99.1</v>
      </c>
      <c r="AK167" s="11">
        <v>94475.030230000004</v>
      </c>
      <c r="AL167" s="11">
        <v>50.989333700000003</v>
      </c>
      <c r="AM167" s="11">
        <v>15497.34058</v>
      </c>
      <c r="AN167" s="11">
        <v>3.8</v>
      </c>
      <c r="AO167" s="11">
        <v>88.906000000000006</v>
      </c>
      <c r="AP167" s="19">
        <v>14.3333707</v>
      </c>
    </row>
    <row r="168" spans="2:42">
      <c r="B168" t="s">
        <v>122</v>
      </c>
      <c r="C168" t="s">
        <v>123</v>
      </c>
      <c r="D168" t="s">
        <v>124</v>
      </c>
      <c r="E168" t="s">
        <v>35</v>
      </c>
      <c r="F168" t="s">
        <v>36</v>
      </c>
      <c r="G168" t="s">
        <v>37</v>
      </c>
      <c r="H168" t="s">
        <v>38</v>
      </c>
      <c r="I168" t="s">
        <v>39</v>
      </c>
      <c r="J168" t="s">
        <v>40</v>
      </c>
      <c r="K168">
        <v>2011</v>
      </c>
      <c r="L168">
        <v>1.35313270171063</v>
      </c>
      <c r="M168" s="7">
        <v>8.2472677999999994E-2</v>
      </c>
      <c r="N168" s="7">
        <f t="shared" si="18"/>
        <v>2.802711544578813E-6</v>
      </c>
      <c r="O168" s="8">
        <v>5.2206049999999997E-2</v>
      </c>
      <c r="P168" s="8">
        <f t="shared" si="19"/>
        <v>1.7741451178759921E-6</v>
      </c>
      <c r="Q168" s="8">
        <v>5.5490300000000004E-4</v>
      </c>
      <c r="R168" s="8">
        <f t="shared" si="20"/>
        <v>1.885755479192051E-8</v>
      </c>
      <c r="S168" s="13">
        <v>4.6785E-5</v>
      </c>
      <c r="T168" s="8">
        <f t="shared" si="21"/>
        <v>1.5899187802913322E-9</v>
      </c>
      <c r="U168" s="14">
        <v>1.3187700000000001E-5</v>
      </c>
      <c r="V168" s="8">
        <f t="shared" si="22"/>
        <v>4.4816440950834673E-10</v>
      </c>
      <c r="W168" s="8">
        <v>1.0733260000000001E-3</v>
      </c>
      <c r="X168" s="8">
        <f t="shared" si="23"/>
        <v>1.5230202230105712E-14</v>
      </c>
      <c r="Y168" s="8"/>
      <c r="Z168" s="8">
        <f t="shared" si="24"/>
        <v>0</v>
      </c>
      <c r="AA168" s="8">
        <v>1.503992E-3</v>
      </c>
      <c r="AB168" s="8">
        <f t="shared" si="25"/>
        <v>5.111093568895845E-8</v>
      </c>
      <c r="AC168" s="8">
        <v>0.164295042</v>
      </c>
      <c r="AD168" s="18">
        <f t="shared" si="26"/>
        <v>5.5833231331527882E-6</v>
      </c>
      <c r="AE168" s="9">
        <v>73</v>
      </c>
      <c r="AF168" s="10">
        <v>84.4</v>
      </c>
      <c r="AG168" s="10">
        <v>84.8</v>
      </c>
      <c r="AH168" s="10">
        <v>89.1</v>
      </c>
      <c r="AI168" s="10">
        <v>87.3</v>
      </c>
      <c r="AJ168" s="10">
        <v>87.8</v>
      </c>
      <c r="AK168" s="11">
        <v>29426.031429999999</v>
      </c>
      <c r="AL168" s="11">
        <v>32.28125</v>
      </c>
      <c r="AM168" s="11">
        <v>4785.3786499999997</v>
      </c>
      <c r="AN168" s="11">
        <v>2</v>
      </c>
      <c r="AO168" s="11">
        <v>94.141000000000005</v>
      </c>
      <c r="AP168" s="19">
        <v>79.748930200000004</v>
      </c>
    </row>
    <row r="169" spans="2:42">
      <c r="B169" t="s">
        <v>125</v>
      </c>
      <c r="C169" t="s">
        <v>126</v>
      </c>
      <c r="D169" t="s">
        <v>127</v>
      </c>
      <c r="E169" t="s">
        <v>35</v>
      </c>
      <c r="F169" t="s">
        <v>36</v>
      </c>
      <c r="G169" t="s">
        <v>37</v>
      </c>
      <c r="H169" t="s">
        <v>38</v>
      </c>
      <c r="I169" t="s">
        <v>39</v>
      </c>
      <c r="J169" t="s">
        <v>40</v>
      </c>
      <c r="K169">
        <v>2011</v>
      </c>
      <c r="L169">
        <v>0.88438727706587394</v>
      </c>
      <c r="M169" s="7">
        <v>258.73241919999998</v>
      </c>
      <c r="N169" s="7">
        <f t="shared" si="18"/>
        <v>1.5330052030556197E-2</v>
      </c>
      <c r="O169" s="8">
        <v>3.2825175999999998E-2</v>
      </c>
      <c r="P169" s="8">
        <f t="shared" si="19"/>
        <v>1.9449114940759791E-6</v>
      </c>
      <c r="Q169" s="8">
        <v>2.5771589999999999E-3</v>
      </c>
      <c r="R169" s="8">
        <f t="shared" si="20"/>
        <v>1.5269822654298508E-7</v>
      </c>
      <c r="S169" s="8">
        <v>2.8644E-3</v>
      </c>
      <c r="T169" s="8">
        <f t="shared" si="21"/>
        <v>1.6971742919615222E-7</v>
      </c>
      <c r="U169" s="8">
        <v>2.0522259999999999E-3</v>
      </c>
      <c r="V169" s="8">
        <f t="shared" si="22"/>
        <v>1.2159562939865336E-7</v>
      </c>
      <c r="W169" s="8">
        <v>7.4193990000000001E-3</v>
      </c>
      <c r="X169" s="8">
        <f t="shared" si="23"/>
        <v>7.2046144473633275E-12</v>
      </c>
      <c r="Y169" s="8"/>
      <c r="Z169" s="8">
        <f t="shared" si="24"/>
        <v>0</v>
      </c>
      <c r="AA169" s="8">
        <v>5.6758199999999998E-3</v>
      </c>
      <c r="AB169" s="8">
        <f t="shared" si="25"/>
        <v>3.3629576140905761E-7</v>
      </c>
      <c r="AC169" s="8">
        <v>0.47886336600000001</v>
      </c>
      <c r="AD169" s="18">
        <f t="shared" si="26"/>
        <v>2.8372943518271236E-5</v>
      </c>
      <c r="AE169" s="9">
        <v>70.599999999999994</v>
      </c>
      <c r="AF169" s="10">
        <v>75.8</v>
      </c>
      <c r="AG169" s="10">
        <v>76.3</v>
      </c>
      <c r="AH169" s="10">
        <v>75.8</v>
      </c>
      <c r="AI169" s="10">
        <v>77</v>
      </c>
      <c r="AJ169" s="10">
        <v>71.8</v>
      </c>
      <c r="AK169" s="11">
        <v>16877.465169999999</v>
      </c>
      <c r="AL169" s="11">
        <v>44.566850299999999</v>
      </c>
      <c r="AM169" s="11">
        <v>2032.0918810000001</v>
      </c>
      <c r="AN169" s="11">
        <v>12</v>
      </c>
      <c r="AO169" s="11">
        <v>41.444000000000003</v>
      </c>
      <c r="AP169" s="19">
        <v>3.7620720300000001</v>
      </c>
    </row>
    <row r="170" spans="2:42">
      <c r="B170" t="s">
        <v>128</v>
      </c>
      <c r="C170" t="s">
        <v>129</v>
      </c>
      <c r="D170" t="s">
        <v>130</v>
      </c>
      <c r="E170" t="s">
        <v>35</v>
      </c>
      <c r="F170" t="s">
        <v>36</v>
      </c>
      <c r="G170" t="s">
        <v>37</v>
      </c>
      <c r="H170" t="s">
        <v>38</v>
      </c>
      <c r="I170" t="s">
        <v>39</v>
      </c>
      <c r="J170" t="s">
        <v>40</v>
      </c>
      <c r="K170">
        <v>2011</v>
      </c>
      <c r="L170">
        <v>0.223239565581317</v>
      </c>
      <c r="M170" s="7">
        <v>258.73241919999998</v>
      </c>
      <c r="N170" s="7">
        <f t="shared" si="18"/>
        <v>3.7865451758769722E-2</v>
      </c>
      <c r="O170" s="8">
        <v>1.208035776</v>
      </c>
      <c r="P170" s="8">
        <f t="shared" si="19"/>
        <v>1.7679585936865831E-4</v>
      </c>
      <c r="Q170" s="8">
        <v>0.20606491499999999</v>
      </c>
      <c r="R170" s="8">
        <f t="shared" si="20"/>
        <v>3.0157570211856478E-5</v>
      </c>
      <c r="S170" s="8">
        <v>9.6145853000000003E-2</v>
      </c>
      <c r="T170" s="8">
        <f t="shared" si="21"/>
        <v>1.4070931543229142E-5</v>
      </c>
      <c r="U170" s="8">
        <v>9.1011800000000002E-4</v>
      </c>
      <c r="V170" s="8">
        <f t="shared" si="22"/>
        <v>1.3319563636572678E-7</v>
      </c>
      <c r="W170" s="8">
        <v>2.4466779999999999E-3</v>
      </c>
      <c r="X170" s="8">
        <f t="shared" si="23"/>
        <v>1.9493161927212644E-11</v>
      </c>
      <c r="Y170" s="8"/>
      <c r="Z170" s="8">
        <f t="shared" si="24"/>
        <v>0</v>
      </c>
      <c r="AA170" s="8">
        <v>9.6377140000000004E-3</v>
      </c>
      <c r="AB170" s="8">
        <f t="shared" si="25"/>
        <v>1.4104780361896744E-6</v>
      </c>
      <c r="AC170" s="8">
        <v>0.81938421299999997</v>
      </c>
      <c r="AD170" s="18">
        <f t="shared" si="26"/>
        <v>1.1991675989109676E-4</v>
      </c>
      <c r="AE170" s="9">
        <v>30.8</v>
      </c>
      <c r="AF170" s="10">
        <v>31.3</v>
      </c>
      <c r="AG170" s="10">
        <v>45.5</v>
      </c>
      <c r="AH170" s="10">
        <v>51.2</v>
      </c>
      <c r="AI170" s="10">
        <v>45.5</v>
      </c>
      <c r="AJ170" s="10">
        <v>51.2</v>
      </c>
      <c r="AK170" s="11">
        <v>6832.9415650000001</v>
      </c>
      <c r="AL170" s="11">
        <v>74.946727600000003</v>
      </c>
      <c r="AM170" s="11">
        <v>2036.9147539999999</v>
      </c>
      <c r="AN170" s="11">
        <v>20.399999999999999</v>
      </c>
      <c r="AO170" s="11">
        <v>42.588999999999999</v>
      </c>
      <c r="AP170" s="19">
        <v>4.4314761100000002</v>
      </c>
    </row>
    <row r="171" spans="2:42">
      <c r="B171" t="s">
        <v>131</v>
      </c>
      <c r="C171" t="s">
        <v>132</v>
      </c>
      <c r="D171" t="s">
        <v>133</v>
      </c>
      <c r="E171" t="s">
        <v>35</v>
      </c>
      <c r="F171" t="s">
        <v>36</v>
      </c>
      <c r="G171" t="s">
        <v>37</v>
      </c>
      <c r="H171" t="s">
        <v>38</v>
      </c>
      <c r="I171" t="s">
        <v>39</v>
      </c>
      <c r="J171" t="s">
        <v>40</v>
      </c>
      <c r="K171">
        <v>2011</v>
      </c>
      <c r="L171">
        <v>1.58789222567843</v>
      </c>
      <c r="M171" s="7">
        <v>10.07995581</v>
      </c>
      <c r="N171" s="7">
        <f t="shared" si="18"/>
        <v>2.1444826856386324E-4</v>
      </c>
      <c r="O171" s="8">
        <v>12.93852746</v>
      </c>
      <c r="P171" s="8">
        <f t="shared" si="19"/>
        <v>2.7526358883541569E-4</v>
      </c>
      <c r="Q171" s="8">
        <v>0.27128434800000001</v>
      </c>
      <c r="R171" s="8">
        <f t="shared" si="20"/>
        <v>5.7714993809160894E-6</v>
      </c>
      <c r="S171" s="8">
        <v>3.073909778</v>
      </c>
      <c r="T171" s="8">
        <f t="shared" si="21"/>
        <v>6.5396579314332259E-5</v>
      </c>
      <c r="U171" s="8">
        <v>1.6404126000000002E-2</v>
      </c>
      <c r="V171" s="8">
        <f t="shared" si="22"/>
        <v>3.4899323809669087E-7</v>
      </c>
      <c r="W171" s="8">
        <v>0.135545526</v>
      </c>
      <c r="X171" s="8">
        <f t="shared" si="23"/>
        <v>7.4247344989433476E-12</v>
      </c>
      <c r="Y171" s="8">
        <v>0.101457214</v>
      </c>
      <c r="Z171" s="8">
        <f t="shared" si="24"/>
        <v>2.1584741327961584E-6</v>
      </c>
      <c r="AA171" s="8">
        <v>9.5036106999999995E-2</v>
      </c>
      <c r="AB171" s="8">
        <f t="shared" si="25"/>
        <v>2.0218668594738656E-6</v>
      </c>
      <c r="AC171" s="8">
        <v>5.4076142320000002</v>
      </c>
      <c r="AD171" s="18">
        <f t="shared" si="26"/>
        <v>1.1504549533473652E-4</v>
      </c>
      <c r="AE171" s="9">
        <v>96.7</v>
      </c>
      <c r="AF171" s="10">
        <v>96.7</v>
      </c>
      <c r="AG171" s="10">
        <v>89.6</v>
      </c>
      <c r="AH171" s="10">
        <v>97.2</v>
      </c>
      <c r="AI171" s="10">
        <v>97.2</v>
      </c>
      <c r="AJ171" s="10">
        <v>96.7</v>
      </c>
      <c r="AK171" s="11">
        <v>47004.137069999997</v>
      </c>
      <c r="AL171" s="11">
        <v>55.112692799999998</v>
      </c>
      <c r="AM171" s="11">
        <v>7060.0537679999998</v>
      </c>
      <c r="AN171" s="11">
        <v>4.7</v>
      </c>
      <c r="AO171" s="11">
        <v>87.879000000000005</v>
      </c>
      <c r="AP171" s="19">
        <v>38.813285399999998</v>
      </c>
    </row>
    <row r="172" spans="2:42">
      <c r="B172" t="s">
        <v>134</v>
      </c>
      <c r="C172" t="s">
        <v>135</v>
      </c>
      <c r="D172" t="s">
        <v>136</v>
      </c>
      <c r="E172" t="s">
        <v>35</v>
      </c>
      <c r="F172" t="s">
        <v>36</v>
      </c>
      <c r="G172" t="s">
        <v>37</v>
      </c>
      <c r="H172" t="s">
        <v>38</v>
      </c>
      <c r="I172" t="s">
        <v>39</v>
      </c>
      <c r="J172" t="s">
        <v>40</v>
      </c>
      <c r="K172">
        <v>2011</v>
      </c>
      <c r="L172">
        <v>0.80188120169743604</v>
      </c>
      <c r="M172" s="7">
        <v>84.219348350000004</v>
      </c>
      <c r="N172" s="7">
        <f t="shared" si="18"/>
        <v>1.348370571421465E-3</v>
      </c>
      <c r="O172" s="8">
        <v>2.733431392</v>
      </c>
      <c r="P172" s="8">
        <f t="shared" si="19"/>
        <v>4.3762846901348772E-5</v>
      </c>
      <c r="Q172" s="8">
        <v>0.23785577399999999</v>
      </c>
      <c r="R172" s="8">
        <f t="shared" si="20"/>
        <v>3.8081240497306086E-6</v>
      </c>
      <c r="S172" s="8">
        <v>4.3198121890000003</v>
      </c>
      <c r="T172" s="8">
        <f t="shared" si="21"/>
        <v>6.9161157665444459E-5</v>
      </c>
      <c r="U172" s="8">
        <v>3.615413E-2</v>
      </c>
      <c r="V172" s="8">
        <f t="shared" si="22"/>
        <v>5.7883569372626157E-7</v>
      </c>
      <c r="W172" s="8">
        <v>1.5353141000000001E-2</v>
      </c>
      <c r="X172" s="8">
        <f t="shared" si="23"/>
        <v>9.2672886979042921E-12</v>
      </c>
      <c r="Y172" s="8">
        <v>0.11200072799999999</v>
      </c>
      <c r="Z172" s="8">
        <f t="shared" si="24"/>
        <v>1.7931566625922494E-6</v>
      </c>
      <c r="AA172" s="8">
        <v>2.9459355999999999E-2</v>
      </c>
      <c r="AB172" s="8">
        <f t="shared" si="25"/>
        <v>4.7165086718969328E-7</v>
      </c>
      <c r="AC172" s="8">
        <v>2.0492691459999999</v>
      </c>
      <c r="AD172" s="18">
        <f t="shared" si="26"/>
        <v>3.2809256584427103E-5</v>
      </c>
      <c r="AE172" s="9">
        <v>97.6</v>
      </c>
      <c r="AF172" s="10">
        <v>97.2</v>
      </c>
      <c r="AG172" s="10">
        <v>97.2</v>
      </c>
      <c r="AH172" s="10">
        <v>93.8</v>
      </c>
      <c r="AI172" s="10">
        <v>98.1</v>
      </c>
      <c r="AJ172" s="10">
        <v>100</v>
      </c>
      <c r="AK172" s="11">
        <v>62460.090819999998</v>
      </c>
      <c r="AL172" s="11">
        <v>2.7351578700000001</v>
      </c>
      <c r="AM172" s="11">
        <v>23655.142</v>
      </c>
      <c r="AN172" s="11">
        <v>56</v>
      </c>
      <c r="AO172" s="11">
        <v>79.454999999999998</v>
      </c>
      <c r="AP172" s="19">
        <v>2.0536763599999999</v>
      </c>
    </row>
    <row r="173" spans="2:42">
      <c r="B173" t="s">
        <v>137</v>
      </c>
      <c r="C173" t="s">
        <v>138</v>
      </c>
      <c r="D173" t="s">
        <v>139</v>
      </c>
      <c r="E173" t="s">
        <v>35</v>
      </c>
      <c r="F173" t="s">
        <v>36</v>
      </c>
      <c r="G173" t="s">
        <v>37</v>
      </c>
      <c r="H173" t="s">
        <v>38</v>
      </c>
      <c r="I173" t="s">
        <v>39</v>
      </c>
      <c r="J173" t="s">
        <v>40</v>
      </c>
      <c r="K173">
        <v>2011</v>
      </c>
      <c r="L173">
        <v>0.68972950222114504</v>
      </c>
      <c r="M173" s="7">
        <v>1.061155737</v>
      </c>
      <c r="N173" s="7">
        <f t="shared" si="18"/>
        <v>4.6524562321905006E-5</v>
      </c>
      <c r="O173" s="8">
        <v>18.801024819999999</v>
      </c>
      <c r="P173" s="8">
        <f t="shared" si="19"/>
        <v>8.2429884743088642E-4</v>
      </c>
      <c r="Q173" s="8">
        <v>4.0540894740000004</v>
      </c>
      <c r="R173" s="8">
        <f t="shared" si="20"/>
        <v>1.7774463428424372E-4</v>
      </c>
      <c r="S173" s="8">
        <v>21.085631190000001</v>
      </c>
      <c r="T173" s="8">
        <f t="shared" si="21"/>
        <v>9.2446351481757967E-4</v>
      </c>
      <c r="U173" s="8">
        <v>9.8166594999999995E-2</v>
      </c>
      <c r="V173" s="8">
        <f t="shared" si="22"/>
        <v>4.3039468268046582E-6</v>
      </c>
      <c r="W173" s="8">
        <v>0.10916532499999999</v>
      </c>
      <c r="X173" s="8">
        <f t="shared" si="23"/>
        <v>1.8869920351176374E-10</v>
      </c>
      <c r="Y173" s="8">
        <v>2.3897038999999998E-2</v>
      </c>
      <c r="Z173" s="8">
        <f t="shared" si="24"/>
        <v>1.0477248923024901E-6</v>
      </c>
      <c r="AA173" s="8">
        <v>0.220264671</v>
      </c>
      <c r="AB173" s="8">
        <f t="shared" si="25"/>
        <v>9.6571285966231395E-6</v>
      </c>
      <c r="AC173" s="8">
        <v>11.06756247</v>
      </c>
      <c r="AD173" s="18">
        <f t="shared" si="26"/>
        <v>4.8523838861089995E-4</v>
      </c>
      <c r="AE173" s="9">
        <v>71.599999999999994</v>
      </c>
      <c r="AF173" s="10">
        <v>70.099999999999994</v>
      </c>
      <c r="AG173" s="10">
        <v>85.8</v>
      </c>
      <c r="AH173" s="10">
        <v>78.7</v>
      </c>
      <c r="AI173" s="10">
        <v>72.8</v>
      </c>
      <c r="AJ173" s="10">
        <v>80.3</v>
      </c>
      <c r="AK173" s="11">
        <v>22808.505529999999</v>
      </c>
      <c r="AL173" s="11">
        <v>48.261110899999998</v>
      </c>
      <c r="AM173" s="11">
        <v>3879.5420939999999</v>
      </c>
      <c r="AN173" s="11">
        <v>10.4</v>
      </c>
      <c r="AO173" s="11">
        <v>60.78</v>
      </c>
      <c r="AP173" s="19">
        <v>3.5712895800000002</v>
      </c>
    </row>
    <row r="174" spans="2:42">
      <c r="B174" t="s">
        <v>140</v>
      </c>
      <c r="C174" t="s">
        <v>141</v>
      </c>
      <c r="D174" t="s">
        <v>142</v>
      </c>
      <c r="E174" t="s">
        <v>35</v>
      </c>
      <c r="F174" t="s">
        <v>36</v>
      </c>
      <c r="G174" t="s">
        <v>37</v>
      </c>
      <c r="H174" t="s">
        <v>38</v>
      </c>
      <c r="I174" t="s">
        <v>39</v>
      </c>
      <c r="J174" t="s">
        <v>40</v>
      </c>
      <c r="K174">
        <v>2011</v>
      </c>
      <c r="L174">
        <v>0.71217209684252103</v>
      </c>
      <c r="M174" s="7">
        <v>66.402578930000004</v>
      </c>
      <c r="N174" s="7">
        <f t="shared" si="18"/>
        <v>2.4774092446455107E-3</v>
      </c>
      <c r="O174" s="8">
        <v>4.6983450859999998</v>
      </c>
      <c r="P174" s="8">
        <f t="shared" si="19"/>
        <v>1.7529023327334201E-4</v>
      </c>
      <c r="Q174" s="8">
        <v>0.26493695299999998</v>
      </c>
      <c r="R174" s="8">
        <f t="shared" si="20"/>
        <v>9.8845145352310645E-6</v>
      </c>
      <c r="S174" s="8">
        <v>0.33206376500000001</v>
      </c>
      <c r="T174" s="8">
        <f t="shared" si="21"/>
        <v>1.2388944141612638E-5</v>
      </c>
      <c r="U174" s="8">
        <v>6.1046134000000002E-2</v>
      </c>
      <c r="V174" s="8">
        <f t="shared" si="22"/>
        <v>2.2775660096108351E-6</v>
      </c>
      <c r="W174" s="8">
        <v>3.8011176000000001E-2</v>
      </c>
      <c r="X174" s="8">
        <f t="shared" si="23"/>
        <v>8.4973553413466327E-11</v>
      </c>
      <c r="Y174" s="8">
        <v>2.8253459999999998E-3</v>
      </c>
      <c r="Z174" s="8">
        <f t="shared" si="24"/>
        <v>1.0541063935334438E-7</v>
      </c>
      <c r="AA174" s="8">
        <v>3.1003010000000001E-2</v>
      </c>
      <c r="AB174" s="8">
        <f t="shared" si="25"/>
        <v>1.1566891651422974E-6</v>
      </c>
      <c r="AC174" s="8">
        <v>4.212360383</v>
      </c>
      <c r="AD174" s="18">
        <f t="shared" si="26"/>
        <v>1.5715866345528251E-4</v>
      </c>
      <c r="AE174" s="9">
        <v>81.5</v>
      </c>
      <c r="AF174" s="10">
        <v>76.8</v>
      </c>
      <c r="AG174" s="10">
        <v>69.7</v>
      </c>
      <c r="AH174" s="10">
        <v>71.099999999999994</v>
      </c>
      <c r="AI174" s="10">
        <v>80.3</v>
      </c>
      <c r="AJ174" s="10">
        <v>84.5</v>
      </c>
      <c r="AK174" s="11">
        <v>26803.233690000001</v>
      </c>
      <c r="AL174" s="11">
        <v>39.844524499999999</v>
      </c>
      <c r="AM174" s="11">
        <v>4848.1846180000002</v>
      </c>
      <c r="AN174" s="11">
        <v>27.2</v>
      </c>
      <c r="AO174" s="11">
        <v>61.167000000000002</v>
      </c>
      <c r="AP174" s="19">
        <v>4.2364875599999996</v>
      </c>
    </row>
    <row r="175" spans="2:42">
      <c r="B175" t="s">
        <v>143</v>
      </c>
      <c r="C175" t="s">
        <v>144</v>
      </c>
      <c r="D175" t="s">
        <v>145</v>
      </c>
      <c r="E175" t="s">
        <v>35</v>
      </c>
      <c r="F175" t="s">
        <v>36</v>
      </c>
      <c r="G175" t="s">
        <v>37</v>
      </c>
      <c r="H175" t="s">
        <v>38</v>
      </c>
      <c r="I175" t="s">
        <v>39</v>
      </c>
      <c r="J175" t="s">
        <v>40</v>
      </c>
      <c r="K175">
        <v>2011</v>
      </c>
      <c r="L175">
        <v>0.94113348621973703</v>
      </c>
      <c r="M175" s="7">
        <v>11.433440640000001</v>
      </c>
      <c r="N175" s="7">
        <f t="shared" si="18"/>
        <v>6.0803507567206924E-4</v>
      </c>
      <c r="O175" s="8">
        <v>9.4846625079999995</v>
      </c>
      <c r="P175" s="8">
        <f t="shared" si="19"/>
        <v>5.0439825310325979E-4</v>
      </c>
      <c r="Q175" s="8">
        <v>1.1646004569999999</v>
      </c>
      <c r="R175" s="8">
        <f t="shared" si="20"/>
        <v>6.1933931289446159E-5</v>
      </c>
      <c r="S175" s="8">
        <v>4.0724773120000002</v>
      </c>
      <c r="T175" s="8">
        <f t="shared" si="21"/>
        <v>2.1657601841318564E-4</v>
      </c>
      <c r="U175" s="8">
        <v>1.9113298000000001E-2</v>
      </c>
      <c r="V175" s="8">
        <f t="shared" si="22"/>
        <v>1.0164530487099996E-6</v>
      </c>
      <c r="W175" s="8">
        <v>1.6816320999999999E-2</v>
      </c>
      <c r="X175" s="8">
        <f t="shared" si="23"/>
        <v>5.405539118533352E-11</v>
      </c>
      <c r="Y175" s="8">
        <v>4.3173617999999997E-2</v>
      </c>
      <c r="Z175" s="8">
        <f t="shared" si="24"/>
        <v>2.2959907620307552E-6</v>
      </c>
      <c r="AA175" s="8">
        <v>3.1216832E-2</v>
      </c>
      <c r="AB175" s="8">
        <f t="shared" si="25"/>
        <v>1.6601239648682226E-6</v>
      </c>
      <c r="AC175" s="8">
        <v>6.3649382059999997</v>
      </c>
      <c r="AD175" s="18">
        <f t="shared" si="26"/>
        <v>3.3849003161774878E-4</v>
      </c>
      <c r="AE175" s="9">
        <v>46</v>
      </c>
      <c r="AF175" s="10">
        <v>48.8</v>
      </c>
      <c r="AG175" s="10">
        <v>53.6</v>
      </c>
      <c r="AH175" s="10">
        <v>73.900000000000006</v>
      </c>
      <c r="AI175" s="10">
        <v>57.7</v>
      </c>
      <c r="AJ175" s="10">
        <v>58.7</v>
      </c>
      <c r="AK175" s="11">
        <v>18803.916249999998</v>
      </c>
      <c r="AL175" s="11">
        <v>60.746404800000001</v>
      </c>
      <c r="AM175" s="11">
        <v>2639.0334339999999</v>
      </c>
      <c r="AN175" s="11">
        <v>21.1</v>
      </c>
      <c r="AO175" s="11">
        <v>53.96</v>
      </c>
      <c r="AP175" s="19">
        <v>1.2304268899999999</v>
      </c>
    </row>
    <row r="176" spans="2:42">
      <c r="B176" t="s">
        <v>146</v>
      </c>
      <c r="C176" t="s">
        <v>147</v>
      </c>
      <c r="D176" t="s">
        <v>148</v>
      </c>
      <c r="E176" t="s">
        <v>35</v>
      </c>
      <c r="F176" t="s">
        <v>36</v>
      </c>
      <c r="G176" t="s">
        <v>37</v>
      </c>
      <c r="H176" t="s">
        <v>38</v>
      </c>
      <c r="I176" t="s">
        <v>39</v>
      </c>
      <c r="J176" t="s">
        <v>40</v>
      </c>
      <c r="K176">
        <v>2011</v>
      </c>
      <c r="L176">
        <v>0.78147126842023495</v>
      </c>
      <c r="M176" s="7">
        <v>0.86087469900000002</v>
      </c>
      <c r="N176" s="7">
        <f t="shared" si="18"/>
        <v>3.2855743428386834E-5</v>
      </c>
      <c r="O176" s="8">
        <v>1.7314276280000001</v>
      </c>
      <c r="P176" s="8">
        <f t="shared" si="19"/>
        <v>6.6080861682274163E-5</v>
      </c>
      <c r="Q176" s="8">
        <v>5.1400329000000002E-2</v>
      </c>
      <c r="R176" s="8">
        <f t="shared" si="20"/>
        <v>1.9617210538541694E-6</v>
      </c>
      <c r="S176" s="8">
        <v>1.091221268</v>
      </c>
      <c r="T176" s="8">
        <f t="shared" si="21"/>
        <v>4.1647043462485289E-5</v>
      </c>
      <c r="U176" s="8">
        <v>2.0335908999999999E-2</v>
      </c>
      <c r="V176" s="8">
        <f t="shared" si="22"/>
        <v>7.7613084606058631E-7</v>
      </c>
      <c r="W176" s="8">
        <v>1.7813830999999999E-2</v>
      </c>
      <c r="X176" s="8">
        <f t="shared" si="23"/>
        <v>2.9621448945641994E-11</v>
      </c>
      <c r="Y176" s="8">
        <v>1.2717454E-2</v>
      </c>
      <c r="Z176" s="8">
        <f t="shared" si="24"/>
        <v>4.8536843535032478E-7</v>
      </c>
      <c r="AA176" s="8">
        <v>8.9701529999999998E-3</v>
      </c>
      <c r="AB176" s="8">
        <f t="shared" si="25"/>
        <v>3.4235068799643558E-7</v>
      </c>
      <c r="AC176" s="8">
        <v>3.6726644980000001</v>
      </c>
      <c r="AD176" s="18">
        <f t="shared" si="26"/>
        <v>1.4016920532686385E-4</v>
      </c>
      <c r="AE176" s="9">
        <v>64</v>
      </c>
      <c r="AF176" s="10">
        <v>74.900000000000006</v>
      </c>
      <c r="AG176" s="10">
        <v>81</v>
      </c>
      <c r="AH176" s="10">
        <v>79.599999999999994</v>
      </c>
      <c r="AI176" s="10">
        <v>67.099999999999994</v>
      </c>
      <c r="AJ176" s="10">
        <v>76.099999999999994</v>
      </c>
      <c r="AK176" s="11">
        <v>26201.650280000002</v>
      </c>
      <c r="AL176" s="11">
        <v>40.1285144</v>
      </c>
      <c r="AM176" s="11">
        <v>5347.5262229999998</v>
      </c>
      <c r="AN176" s="11">
        <v>10.4</v>
      </c>
      <c r="AO176" s="11">
        <v>54.42</v>
      </c>
      <c r="AP176" s="19">
        <v>5.4476574800000002</v>
      </c>
    </row>
    <row r="177" spans="2:42">
      <c r="B177" t="s">
        <v>149</v>
      </c>
      <c r="C177" t="s">
        <v>150</v>
      </c>
      <c r="D177" t="s">
        <v>151</v>
      </c>
      <c r="E177" t="s">
        <v>35</v>
      </c>
      <c r="F177" t="s">
        <v>36</v>
      </c>
      <c r="G177" t="s">
        <v>37</v>
      </c>
      <c r="H177" t="s">
        <v>38</v>
      </c>
      <c r="I177" t="s">
        <v>39</v>
      </c>
      <c r="J177" t="s">
        <v>40</v>
      </c>
      <c r="K177">
        <v>2011</v>
      </c>
      <c r="L177">
        <v>0.79500844608269094</v>
      </c>
      <c r="M177" s="7">
        <v>49.031746159999997</v>
      </c>
      <c r="N177" s="7">
        <f t="shared" si="18"/>
        <v>1.7074930736336869E-3</v>
      </c>
      <c r="O177" s="8">
        <v>1.569994179</v>
      </c>
      <c r="P177" s="8">
        <f t="shared" si="19"/>
        <v>5.4673846971304902E-5</v>
      </c>
      <c r="Q177" s="8">
        <v>0.19766724899999999</v>
      </c>
      <c r="R177" s="8">
        <f t="shared" si="20"/>
        <v>6.8836108232888048E-6</v>
      </c>
      <c r="S177" s="8">
        <v>1.349280407</v>
      </c>
      <c r="T177" s="8">
        <f t="shared" si="21"/>
        <v>4.6987658604368615E-5</v>
      </c>
      <c r="U177" s="8">
        <v>4.2490920000000003E-3</v>
      </c>
      <c r="V177" s="8">
        <f t="shared" si="22"/>
        <v>1.4797138032891771E-7</v>
      </c>
      <c r="W177" s="8">
        <v>4.1240490000000003E-3</v>
      </c>
      <c r="X177" s="8">
        <f t="shared" si="23"/>
        <v>5.1529901909502583E-12</v>
      </c>
      <c r="Y177" s="8">
        <v>6.4400000000000004E-3</v>
      </c>
      <c r="Z177" s="8">
        <f t="shared" si="24"/>
        <v>2.2426807640743719E-7</v>
      </c>
      <c r="AA177" s="8">
        <v>9.8319630000000009E-3</v>
      </c>
      <c r="AB177" s="8">
        <f t="shared" si="25"/>
        <v>3.4239059461476637E-7</v>
      </c>
      <c r="AC177" s="8">
        <v>0.61386244999999995</v>
      </c>
      <c r="AD177" s="18">
        <f t="shared" si="26"/>
        <v>2.137729050314543E-5</v>
      </c>
      <c r="AE177" s="9">
        <v>79.099999999999994</v>
      </c>
      <c r="AF177" s="10">
        <v>79.099999999999994</v>
      </c>
      <c r="AG177" s="10">
        <v>80.599999999999994</v>
      </c>
      <c r="AH177" s="10">
        <v>74.400000000000006</v>
      </c>
      <c r="AI177" s="10">
        <v>82.6</v>
      </c>
      <c r="AJ177" s="10">
        <v>81.7</v>
      </c>
      <c r="AK177" s="11">
        <v>28715.633999999998</v>
      </c>
      <c r="AL177" s="11">
        <v>30.805619</v>
      </c>
      <c r="AM177" s="11">
        <v>6753.0736639999996</v>
      </c>
      <c r="AN177" s="11">
        <v>19.100000000000001</v>
      </c>
      <c r="AO177" s="11">
        <v>52.883000000000003</v>
      </c>
      <c r="AP177" s="19">
        <v>1.7108596</v>
      </c>
    </row>
    <row r="178" spans="2:42">
      <c r="B178" t="s">
        <v>152</v>
      </c>
      <c r="C178" t="s">
        <v>153</v>
      </c>
      <c r="D178" t="s">
        <v>154</v>
      </c>
      <c r="E178" t="s">
        <v>35</v>
      </c>
      <c r="F178" t="s">
        <v>36</v>
      </c>
      <c r="G178" t="s">
        <v>37</v>
      </c>
      <c r="H178" t="s">
        <v>38</v>
      </c>
      <c r="I178" t="s">
        <v>39</v>
      </c>
      <c r="J178" t="s">
        <v>40</v>
      </c>
      <c r="K178">
        <v>2011</v>
      </c>
      <c r="L178">
        <v>0.94964761887751303</v>
      </c>
      <c r="M178" s="7">
        <v>0.86087469900000002</v>
      </c>
      <c r="N178" s="7">
        <f t="shared" si="18"/>
        <v>2.6889246675162033E-5</v>
      </c>
      <c r="O178" s="8">
        <v>25.526497599999999</v>
      </c>
      <c r="P178" s="8">
        <f t="shared" si="19"/>
        <v>7.9731497686788392E-4</v>
      </c>
      <c r="Q178" s="8">
        <v>1.0485469569999999</v>
      </c>
      <c r="R178" s="8">
        <f t="shared" si="20"/>
        <v>3.2751151601986517E-5</v>
      </c>
      <c r="S178" s="8">
        <v>1.504200446</v>
      </c>
      <c r="T178" s="8">
        <f t="shared" si="21"/>
        <v>4.6983395944109104E-5</v>
      </c>
      <c r="U178" s="8">
        <v>8.3738698E-2</v>
      </c>
      <c r="V178" s="8">
        <f t="shared" si="22"/>
        <v>2.6155612534489151E-6</v>
      </c>
      <c r="W178" s="8">
        <v>0.118913747</v>
      </c>
      <c r="X178" s="8">
        <f t="shared" si="23"/>
        <v>8.1696525428939202E-11</v>
      </c>
      <c r="Y178" s="8">
        <v>3.8898453E-2</v>
      </c>
      <c r="Z178" s="8">
        <f t="shared" si="24"/>
        <v>1.2149852925334917E-6</v>
      </c>
      <c r="AA178" s="8">
        <v>0.202261625</v>
      </c>
      <c r="AB178" s="8">
        <f t="shared" si="25"/>
        <v>6.3176008469777549E-6</v>
      </c>
      <c r="AC178" s="8">
        <v>17.57479305</v>
      </c>
      <c r="AD178" s="18">
        <f t="shared" si="26"/>
        <v>5.4894509750991454E-4</v>
      </c>
      <c r="AE178" s="9">
        <v>83.4</v>
      </c>
      <c r="AF178" s="10">
        <v>78.2</v>
      </c>
      <c r="AG178" s="10">
        <v>48.3</v>
      </c>
      <c r="AH178" s="10">
        <v>81</v>
      </c>
      <c r="AI178" s="10">
        <v>85.4</v>
      </c>
      <c r="AJ178" s="10">
        <v>83.1</v>
      </c>
      <c r="AK178" s="11">
        <v>32015.575199999999</v>
      </c>
      <c r="AL178" s="11">
        <v>54.040969799999999</v>
      </c>
      <c r="AM178" s="11">
        <v>5599.3559809999997</v>
      </c>
      <c r="AN178" s="11">
        <v>14.7</v>
      </c>
      <c r="AO178" s="11">
        <v>78.673000000000002</v>
      </c>
      <c r="AP178" s="19">
        <v>1.8037508600000001</v>
      </c>
    </row>
    <row r="179" spans="2:42">
      <c r="B179" t="s">
        <v>155</v>
      </c>
      <c r="C179" t="s">
        <v>156</v>
      </c>
      <c r="D179" t="s">
        <v>157</v>
      </c>
      <c r="E179" t="s">
        <v>35</v>
      </c>
      <c r="F179" t="s">
        <v>36</v>
      </c>
      <c r="G179" t="s">
        <v>37</v>
      </c>
      <c r="H179" t="s">
        <v>38</v>
      </c>
      <c r="I179" t="s">
        <v>39</v>
      </c>
      <c r="J179" t="s">
        <v>40</v>
      </c>
      <c r="K179">
        <v>2011</v>
      </c>
      <c r="L179">
        <v>0.449850519259477</v>
      </c>
      <c r="M179" s="7">
        <v>63.625316159999997</v>
      </c>
      <c r="N179" s="7">
        <f t="shared" si="18"/>
        <v>1.4351837807275612E-3</v>
      </c>
      <c r="O179" s="8">
        <v>4.1569633460000004</v>
      </c>
      <c r="P179" s="8">
        <f t="shared" si="19"/>
        <v>9.3767807082566399E-5</v>
      </c>
      <c r="Q179" s="8">
        <v>0.46126199600000001</v>
      </c>
      <c r="R179" s="8">
        <f t="shared" si="20"/>
        <v>1.0404596397768552E-5</v>
      </c>
      <c r="S179" s="8">
        <v>0.14968311200000001</v>
      </c>
      <c r="T179" s="8">
        <f t="shared" si="21"/>
        <v>3.3763726069510976E-6</v>
      </c>
      <c r="U179" s="8">
        <v>0.168172234</v>
      </c>
      <c r="V179" s="8">
        <f t="shared" si="22"/>
        <v>3.7934281064878584E-6</v>
      </c>
      <c r="W179" s="8">
        <v>0.16195985299999999</v>
      </c>
      <c r="X179" s="8">
        <f t="shared" si="23"/>
        <v>8.5567613968261003E-11</v>
      </c>
      <c r="Y179" s="8">
        <v>1.2197650000000001E-2</v>
      </c>
      <c r="Z179" s="8">
        <f t="shared" si="24"/>
        <v>2.7513999928847725E-7</v>
      </c>
      <c r="AA179" s="8">
        <v>7.6420497000000004E-2</v>
      </c>
      <c r="AB179" s="8">
        <f t="shared" si="25"/>
        <v>1.7238021660078028E-6</v>
      </c>
      <c r="AC179" s="8">
        <v>3.697479854</v>
      </c>
      <c r="AD179" s="18">
        <f t="shared" si="26"/>
        <v>8.3403328050790025E-5</v>
      </c>
      <c r="AE179" s="9">
        <v>98.6</v>
      </c>
      <c r="AF179" s="10">
        <v>98.6</v>
      </c>
      <c r="AG179" s="10">
        <v>92.4</v>
      </c>
      <c r="AH179" s="10">
        <v>99.1</v>
      </c>
      <c r="AI179" s="10">
        <v>99.1</v>
      </c>
      <c r="AJ179" s="10">
        <v>99.5</v>
      </c>
      <c r="AK179" s="11">
        <v>44332.521739999996</v>
      </c>
      <c r="AL179" s="11">
        <v>7.5197678999999997</v>
      </c>
      <c r="AM179" s="11">
        <v>14030.268980000001</v>
      </c>
      <c r="AN179" s="11">
        <v>45.4</v>
      </c>
      <c r="AO179" s="11">
        <v>85.296999999999997</v>
      </c>
      <c r="AP179" s="19">
        <v>1.2232862200000001</v>
      </c>
    </row>
    <row r="180" spans="2:42">
      <c r="B180" t="s">
        <v>158</v>
      </c>
      <c r="C180" t="s">
        <v>159</v>
      </c>
      <c r="D180" t="s">
        <v>160</v>
      </c>
      <c r="E180" t="s">
        <v>35</v>
      </c>
      <c r="F180" t="s">
        <v>36</v>
      </c>
      <c r="G180" t="s">
        <v>37</v>
      </c>
      <c r="H180" t="s">
        <v>38</v>
      </c>
      <c r="I180" t="s">
        <v>39</v>
      </c>
      <c r="J180" t="s">
        <v>40</v>
      </c>
      <c r="K180">
        <v>2011</v>
      </c>
      <c r="L180">
        <v>0.58076905320883498</v>
      </c>
      <c r="M180" s="7">
        <v>49.031746159999997</v>
      </c>
      <c r="N180" s="7">
        <f t="shared" si="18"/>
        <v>8.5282122379593515E-4</v>
      </c>
      <c r="O180" s="8">
        <v>4.1311067579999996</v>
      </c>
      <c r="P180" s="8">
        <f t="shared" si="19"/>
        <v>7.1853356180558631E-5</v>
      </c>
      <c r="Q180" s="8">
        <v>0.241580774</v>
      </c>
      <c r="R180" s="8">
        <f t="shared" si="20"/>
        <v>4.2018738361050701E-6</v>
      </c>
      <c r="S180" s="8">
        <v>0.45589522599999999</v>
      </c>
      <c r="T180" s="8">
        <f t="shared" si="21"/>
        <v>7.9294978255786524E-6</v>
      </c>
      <c r="U180" s="8">
        <v>1.8858541999999999E-2</v>
      </c>
      <c r="V180" s="8">
        <f t="shared" si="22"/>
        <v>3.2801126060175873E-7</v>
      </c>
      <c r="W180" s="8">
        <v>3.9934395999999997E-2</v>
      </c>
      <c r="X180" s="8">
        <f t="shared" si="23"/>
        <v>5.7051805532768595E-12</v>
      </c>
      <c r="Y180" s="8">
        <v>3.2170319999999999E-3</v>
      </c>
      <c r="Z180" s="8">
        <f t="shared" si="24"/>
        <v>5.5954629033156282E-8</v>
      </c>
      <c r="AA180" s="8">
        <v>3.6158728000000001E-2</v>
      </c>
      <c r="AB180" s="8">
        <f t="shared" si="25"/>
        <v>6.2891765190734847E-7</v>
      </c>
      <c r="AC180" s="8">
        <v>0.22499619900000001</v>
      </c>
      <c r="AD180" s="18">
        <f t="shared" si="26"/>
        <v>3.9134142429777541E-6</v>
      </c>
      <c r="AE180" s="9">
        <v>95.7</v>
      </c>
      <c r="AF180" s="10">
        <v>97.6</v>
      </c>
      <c r="AG180" s="10">
        <v>94.3</v>
      </c>
      <c r="AH180" s="10">
        <v>94.8</v>
      </c>
      <c r="AI180" s="10">
        <v>93.9</v>
      </c>
      <c r="AJ180" s="10">
        <v>98.6</v>
      </c>
      <c r="AK180" s="11">
        <v>57493.581059999997</v>
      </c>
      <c r="AL180" s="11">
        <v>38.750211100000001</v>
      </c>
      <c r="AM180" s="11">
        <v>7928.19067</v>
      </c>
      <c r="AN180" s="11">
        <v>20.6</v>
      </c>
      <c r="AO180" s="11">
        <v>73.631</v>
      </c>
      <c r="AP180" s="19">
        <v>2.90052077</v>
      </c>
    </row>
    <row r="181" spans="2:42">
      <c r="B181" t="s">
        <v>161</v>
      </c>
      <c r="C181" t="s">
        <v>162</v>
      </c>
      <c r="D181" t="s">
        <v>163</v>
      </c>
      <c r="E181" t="s">
        <v>35</v>
      </c>
      <c r="F181" t="s">
        <v>36</v>
      </c>
      <c r="G181" t="s">
        <v>37</v>
      </c>
      <c r="H181" t="s">
        <v>38</v>
      </c>
      <c r="I181" t="s">
        <v>39</v>
      </c>
      <c r="J181" t="s">
        <v>40</v>
      </c>
      <c r="K181">
        <v>2011</v>
      </c>
      <c r="L181">
        <v>0.370513340584186</v>
      </c>
      <c r="M181" s="7">
        <v>58.673297859999998</v>
      </c>
      <c r="N181" s="7">
        <f t="shared" si="18"/>
        <v>2.9949183038742357E-3</v>
      </c>
      <c r="O181" s="8">
        <v>30.72763561</v>
      </c>
      <c r="P181" s="8">
        <f t="shared" si="19"/>
        <v>1.5684606401833976E-3</v>
      </c>
      <c r="Q181" s="8">
        <v>2.4396449699999998</v>
      </c>
      <c r="R181" s="8">
        <f t="shared" si="20"/>
        <v>1.2452917497567285E-4</v>
      </c>
      <c r="S181" s="8">
        <v>7.2566442029999996</v>
      </c>
      <c r="T181" s="8">
        <f t="shared" si="21"/>
        <v>3.7040795968422776E-4</v>
      </c>
      <c r="U181" s="8">
        <v>6.3509146000000002E-2</v>
      </c>
      <c r="V181" s="8">
        <f t="shared" si="22"/>
        <v>3.2417592117059367E-6</v>
      </c>
      <c r="W181" s="8">
        <v>9.4398334E-2</v>
      </c>
      <c r="X181" s="8">
        <f t="shared" si="23"/>
        <v>1.6547227365772319E-10</v>
      </c>
      <c r="Y181" s="8">
        <v>1.5299442999999999E-2</v>
      </c>
      <c r="Z181" s="8">
        <f t="shared" si="24"/>
        <v>7.8094437420430608E-7</v>
      </c>
      <c r="AA181" s="8">
        <v>0.24496025799999999</v>
      </c>
      <c r="AB181" s="8">
        <f t="shared" si="25"/>
        <v>1.2503745096389153E-5</v>
      </c>
      <c r="AC181" s="8">
        <v>37.081798839999998</v>
      </c>
      <c r="AD181" s="18">
        <f t="shared" si="26"/>
        <v>1.8928023843399896E-3</v>
      </c>
      <c r="AE181" s="9">
        <v>58.8</v>
      </c>
      <c r="AF181" s="10">
        <v>64.900000000000006</v>
      </c>
      <c r="AG181" s="10">
        <v>18.5</v>
      </c>
      <c r="AH181" s="10">
        <v>63</v>
      </c>
      <c r="AI181" s="10">
        <v>55.9</v>
      </c>
      <c r="AJ181" s="10">
        <v>44.1</v>
      </c>
      <c r="AK181" s="11">
        <v>19590.95104</v>
      </c>
      <c r="AL181" s="11">
        <v>49.695308099999998</v>
      </c>
      <c r="AM181" s="11">
        <v>2666.738378</v>
      </c>
      <c r="AN181" s="11">
        <v>12.7</v>
      </c>
      <c r="AO181" s="11">
        <v>71.402000000000001</v>
      </c>
      <c r="AP181" s="19">
        <v>1.92921838</v>
      </c>
    </row>
    <row r="182" spans="2:42">
      <c r="B182" t="s">
        <v>164</v>
      </c>
      <c r="C182" t="s">
        <v>165</v>
      </c>
      <c r="D182" t="s">
        <v>166</v>
      </c>
      <c r="E182" t="s">
        <v>35</v>
      </c>
      <c r="F182" t="s">
        <v>36</v>
      </c>
      <c r="G182" t="s">
        <v>37</v>
      </c>
      <c r="H182" t="s">
        <v>38</v>
      </c>
      <c r="I182" t="s">
        <v>39</v>
      </c>
      <c r="J182" t="s">
        <v>40</v>
      </c>
      <c r="K182">
        <v>2011</v>
      </c>
      <c r="L182">
        <v>1.9148823611541001E-2</v>
      </c>
      <c r="M182" s="7">
        <v>37.026473189999997</v>
      </c>
      <c r="N182" s="7">
        <f t="shared" si="18"/>
        <v>1.6327601749847806E-2</v>
      </c>
      <c r="O182" s="8">
        <v>16.125827409999999</v>
      </c>
      <c r="P182" s="8">
        <f t="shared" si="19"/>
        <v>7.1110226049930668E-3</v>
      </c>
      <c r="Q182" s="8">
        <v>2.7432183010000002</v>
      </c>
      <c r="R182" s="8">
        <f t="shared" si="20"/>
        <v>1.2096797797020249E-3</v>
      </c>
      <c r="S182" s="8">
        <v>3.5690423999999998</v>
      </c>
      <c r="T182" s="8">
        <f t="shared" si="21"/>
        <v>1.573844277214592E-3</v>
      </c>
      <c r="U182" s="8">
        <v>7.8224255000000006E-2</v>
      </c>
      <c r="V182" s="8">
        <f t="shared" si="22"/>
        <v>3.4494629727885816E-5</v>
      </c>
      <c r="W182" s="8">
        <v>1.683326E-3</v>
      </c>
      <c r="X182" s="8">
        <f t="shared" si="23"/>
        <v>1.5211132149023905E-8</v>
      </c>
      <c r="Y182" s="8"/>
      <c r="Z182" s="8">
        <f t="shared" si="24"/>
        <v>0</v>
      </c>
      <c r="AA182" s="8">
        <v>1.0697338000000001E-2</v>
      </c>
      <c r="AB182" s="8">
        <f t="shared" si="25"/>
        <v>4.7172160781082877E-6</v>
      </c>
      <c r="AC182" s="8">
        <v>2.523395303</v>
      </c>
      <c r="AD182" s="18">
        <f t="shared" si="26"/>
        <v>1.1127442074593263E-3</v>
      </c>
      <c r="AE182" s="9">
        <v>19</v>
      </c>
      <c r="AF182" s="10">
        <v>35.1</v>
      </c>
      <c r="AG182" s="10">
        <v>18</v>
      </c>
      <c r="AH182" s="10">
        <v>47.4</v>
      </c>
      <c r="AI182" s="10">
        <v>44.1</v>
      </c>
      <c r="AJ182" s="10">
        <v>31</v>
      </c>
      <c r="AK182" s="11">
        <v>2267.7227039999998</v>
      </c>
      <c r="AL182" s="11">
        <v>71.638739299999997</v>
      </c>
      <c r="AM182" s="11">
        <v>56.274193289999999</v>
      </c>
      <c r="AN182" s="11">
        <v>93.3</v>
      </c>
      <c r="AO182" s="11">
        <v>19.898</v>
      </c>
      <c r="AP182" s="19">
        <v>3.2086060299999999</v>
      </c>
    </row>
    <row r="183" spans="2:42">
      <c r="B183" t="s">
        <v>167</v>
      </c>
      <c r="C183" t="s">
        <v>168</v>
      </c>
      <c r="D183" t="s">
        <v>169</v>
      </c>
      <c r="E183" t="s">
        <v>35</v>
      </c>
      <c r="F183" t="s">
        <v>36</v>
      </c>
      <c r="G183" t="s">
        <v>37</v>
      </c>
      <c r="H183" t="s">
        <v>38</v>
      </c>
      <c r="I183" t="s">
        <v>39</v>
      </c>
      <c r="J183" t="s">
        <v>40</v>
      </c>
      <c r="K183">
        <v>2011</v>
      </c>
      <c r="L183">
        <v>0.29928668736937403</v>
      </c>
      <c r="M183" s="7">
        <v>47176.996290000003</v>
      </c>
      <c r="N183" s="7">
        <f t="shared" si="18"/>
        <v>5.1691706527408741</v>
      </c>
      <c r="O183" s="8">
        <v>15.930914339999999</v>
      </c>
      <c r="P183" s="8">
        <f t="shared" si="19"/>
        <v>1.7455459514939954E-3</v>
      </c>
      <c r="Q183" s="8">
        <v>0.69768923100000002</v>
      </c>
      <c r="R183" s="8">
        <f t="shared" si="20"/>
        <v>7.6445619289734312E-5</v>
      </c>
      <c r="S183" s="8">
        <v>52.233052790000002</v>
      </c>
      <c r="T183" s="8">
        <f t="shared" si="21"/>
        <v>5.7231613883473214E-3</v>
      </c>
      <c r="U183" s="8">
        <v>6.7119467000000002E-2</v>
      </c>
      <c r="V183" s="8">
        <f t="shared" si="22"/>
        <v>7.3542617446705089E-6</v>
      </c>
      <c r="W183" s="8">
        <v>5.9265917000000001E-2</v>
      </c>
      <c r="X183" s="8">
        <f t="shared" si="23"/>
        <v>8.0580445922081175E-10</v>
      </c>
      <c r="Y183" s="8">
        <v>0.132015296</v>
      </c>
      <c r="Z183" s="8">
        <f t="shared" si="24"/>
        <v>1.4464880078445105E-5</v>
      </c>
      <c r="AA183" s="8">
        <v>0.16419497599999999</v>
      </c>
      <c r="AB183" s="8">
        <f t="shared" si="25"/>
        <v>1.7990798864119291E-5</v>
      </c>
      <c r="AC183" s="8">
        <v>9.7967489640000007</v>
      </c>
      <c r="AD183" s="18">
        <f t="shared" si="26"/>
        <v>1.0734271195581104E-3</v>
      </c>
      <c r="AE183" s="9">
        <v>14.7</v>
      </c>
      <c r="AF183" s="10">
        <v>20.9</v>
      </c>
      <c r="AG183" s="10">
        <v>43.6</v>
      </c>
      <c r="AH183" s="10">
        <v>32.200000000000003</v>
      </c>
      <c r="AI183" s="10">
        <v>23</v>
      </c>
      <c r="AJ183" s="10">
        <v>44.6</v>
      </c>
      <c r="AK183" s="11">
        <v>9126.6083980000003</v>
      </c>
      <c r="AL183" s="11">
        <v>71.257681399999996</v>
      </c>
      <c r="AM183" s="11">
        <v>3614.8728379999998</v>
      </c>
      <c r="AN183" s="11">
        <v>2.7</v>
      </c>
      <c r="AO183" s="11">
        <v>68.688999999999993</v>
      </c>
      <c r="AP183" s="19">
        <v>4.2560897500000001</v>
      </c>
    </row>
    <row r="184" spans="2:42">
      <c r="B184" t="s">
        <v>170</v>
      </c>
      <c r="C184" t="s">
        <v>171</v>
      </c>
      <c r="D184" t="s">
        <v>172</v>
      </c>
      <c r="E184" t="s">
        <v>35</v>
      </c>
      <c r="F184" t="s">
        <v>36</v>
      </c>
      <c r="G184" t="s">
        <v>37</v>
      </c>
      <c r="H184" t="s">
        <v>38</v>
      </c>
      <c r="I184" t="s">
        <v>39</v>
      </c>
      <c r="J184" t="s">
        <v>40</v>
      </c>
      <c r="K184">
        <v>2011</v>
      </c>
      <c r="L184">
        <v>0.87361014525827696</v>
      </c>
      <c r="M184" s="7">
        <v>435.79825069999998</v>
      </c>
      <c r="N184" s="7">
        <f t="shared" si="18"/>
        <v>1.1707334419460973E-2</v>
      </c>
      <c r="O184" s="8">
        <v>31.850507279999999</v>
      </c>
      <c r="P184" s="8">
        <f t="shared" si="19"/>
        <v>8.5563569738403332E-4</v>
      </c>
      <c r="Q184" s="8">
        <v>0.66604691999999999</v>
      </c>
      <c r="R184" s="8">
        <f t="shared" si="20"/>
        <v>1.7892761200778195E-5</v>
      </c>
      <c r="S184" s="8">
        <v>6.3068397960000002</v>
      </c>
      <c r="T184" s="8">
        <f t="shared" si="21"/>
        <v>1.6942767095356087E-4</v>
      </c>
      <c r="U184" s="8">
        <v>6.1002343000000001E-2</v>
      </c>
      <c r="V184" s="8">
        <f t="shared" si="22"/>
        <v>1.6387739710394027E-6</v>
      </c>
      <c r="W184" s="8">
        <v>0.215171419</v>
      </c>
      <c r="X184" s="8">
        <f t="shared" si="23"/>
        <v>4.402421277747075E-11</v>
      </c>
      <c r="Y184" s="8">
        <v>6.2902677000000004E-2</v>
      </c>
      <c r="Z184" s="8">
        <f t="shared" si="24"/>
        <v>1.6898247625718067E-6</v>
      </c>
      <c r="AA184" s="8">
        <v>0.18506191899999999</v>
      </c>
      <c r="AB184" s="8">
        <f t="shared" si="25"/>
        <v>4.9715247148425482E-6</v>
      </c>
      <c r="AC184" s="8">
        <v>13.20292117</v>
      </c>
      <c r="AD184" s="18">
        <f t="shared" si="26"/>
        <v>3.5468479555090366E-4</v>
      </c>
      <c r="AE184" s="9">
        <v>92.4</v>
      </c>
      <c r="AF184" s="10">
        <v>93.4</v>
      </c>
      <c r="AG184" s="10">
        <v>58.8</v>
      </c>
      <c r="AH184" s="10">
        <v>95.3</v>
      </c>
      <c r="AI184" s="10">
        <v>92.5</v>
      </c>
      <c r="AJ184" s="10">
        <v>92</v>
      </c>
      <c r="AK184" s="11">
        <v>37224.37876</v>
      </c>
      <c r="AL184" s="11">
        <v>70.946141499999996</v>
      </c>
      <c r="AM184" s="11">
        <v>5472.534181</v>
      </c>
      <c r="AN184" s="11">
        <v>4</v>
      </c>
      <c r="AO184" s="11">
        <v>81.569999999999993</v>
      </c>
      <c r="AP184" s="19">
        <v>1.01403975</v>
      </c>
    </row>
    <row r="185" spans="2:42">
      <c r="B185" t="s">
        <v>173</v>
      </c>
      <c r="C185" t="s">
        <v>174</v>
      </c>
      <c r="D185" t="s">
        <v>175</v>
      </c>
      <c r="E185" t="s">
        <v>35</v>
      </c>
      <c r="F185" t="s">
        <v>36</v>
      </c>
      <c r="G185" t="s">
        <v>37</v>
      </c>
      <c r="H185" t="s">
        <v>38</v>
      </c>
      <c r="I185" t="s">
        <v>39</v>
      </c>
      <c r="J185" t="s">
        <v>40</v>
      </c>
      <c r="K185">
        <v>2011</v>
      </c>
      <c r="L185">
        <v>5.4928591020938E-2</v>
      </c>
      <c r="M185" s="7">
        <v>18.709215199999999</v>
      </c>
      <c r="N185" s="7">
        <f t="shared" si="18"/>
        <v>5.7950409499276734E-3</v>
      </c>
      <c r="O185" s="8">
        <v>3.4788193540000001</v>
      </c>
      <c r="P185" s="8">
        <f t="shared" si="19"/>
        <v>1.0775385497640187E-3</v>
      </c>
      <c r="Q185" s="8">
        <v>1.480413837</v>
      </c>
      <c r="R185" s="8">
        <f t="shared" si="20"/>
        <v>4.5854723015076294E-4</v>
      </c>
      <c r="S185" s="8">
        <v>3.2543510969999998</v>
      </c>
      <c r="T185" s="8">
        <f t="shared" si="21"/>
        <v>1.0080111683443058E-3</v>
      </c>
      <c r="U185" s="8">
        <v>5.1458924000000003E-2</v>
      </c>
      <c r="V185" s="8">
        <f t="shared" si="22"/>
        <v>1.5939020885238198E-5</v>
      </c>
      <c r="W185" s="14">
        <v>3.9363200000000003E-5</v>
      </c>
      <c r="X185" s="8">
        <f t="shared" si="23"/>
        <v>4.9369937618606147E-9</v>
      </c>
      <c r="Y185" s="8"/>
      <c r="Z185" s="8">
        <f t="shared" si="24"/>
        <v>0</v>
      </c>
      <c r="AA185" s="8">
        <v>7.9910399999999996E-3</v>
      </c>
      <c r="AB185" s="8">
        <f t="shared" si="25"/>
        <v>2.4751655019987176E-6</v>
      </c>
      <c r="AC185" s="8">
        <v>0.63801753800000005</v>
      </c>
      <c r="AD185" s="18">
        <f t="shared" si="26"/>
        <v>1.976212107219781E-4</v>
      </c>
      <c r="AE185" s="9">
        <v>42.2</v>
      </c>
      <c r="AF185" s="10">
        <v>28</v>
      </c>
      <c r="AG185" s="10">
        <v>63.5</v>
      </c>
      <c r="AH185" s="10">
        <v>34.1</v>
      </c>
      <c r="AI185" s="10">
        <v>39.9</v>
      </c>
      <c r="AJ185" s="10">
        <v>42.3</v>
      </c>
      <c r="AK185" s="11">
        <v>3228.4871429999998</v>
      </c>
      <c r="AL185" s="11">
        <v>31.794885600000001</v>
      </c>
      <c r="AM185" s="11">
        <v>613.45928419999996</v>
      </c>
      <c r="AN185" s="11">
        <v>87.9</v>
      </c>
      <c r="AO185" s="11">
        <v>39.850999999999999</v>
      </c>
      <c r="AP185" s="19">
        <v>4.72516157</v>
      </c>
    </row>
    <row r="186" spans="2:42">
      <c r="B186" t="s">
        <v>32</v>
      </c>
      <c r="C186" t="s">
        <v>33</v>
      </c>
      <c r="D186" t="s">
        <v>34</v>
      </c>
      <c r="E186" t="s">
        <v>35</v>
      </c>
      <c r="F186" t="s">
        <v>36</v>
      </c>
      <c r="G186" t="s">
        <v>37</v>
      </c>
      <c r="H186" t="s">
        <v>38</v>
      </c>
      <c r="I186" t="s">
        <v>39</v>
      </c>
      <c r="J186" t="s">
        <v>40</v>
      </c>
      <c r="K186">
        <v>2012</v>
      </c>
      <c r="L186">
        <v>0.93367261061990703</v>
      </c>
      <c r="M186" s="7">
        <v>613.39362400000005</v>
      </c>
      <c r="N186" s="7">
        <f t="shared" si="18"/>
        <v>1.431044582473253E-2</v>
      </c>
      <c r="O186" s="8">
        <v>82.57172774</v>
      </c>
      <c r="P186" s="8">
        <f t="shared" si="19"/>
        <v>1.9263947166132168E-3</v>
      </c>
      <c r="Q186" s="8">
        <v>0.49249900699999999</v>
      </c>
      <c r="R186" s="8">
        <f t="shared" si="20"/>
        <v>1.1489979814997337E-5</v>
      </c>
      <c r="S186" s="8">
        <v>51.224164260000002</v>
      </c>
      <c r="T186" s="8">
        <f t="shared" si="21"/>
        <v>1.1950574620904933E-3</v>
      </c>
      <c r="U186" s="8">
        <v>0.15585508300000001</v>
      </c>
      <c r="V186" s="8">
        <f t="shared" si="22"/>
        <v>3.6360921185263113E-6</v>
      </c>
      <c r="W186" s="8">
        <v>0.10149554099999999</v>
      </c>
      <c r="X186" s="8">
        <f t="shared" si="23"/>
        <v>8.4829866565270499E-11</v>
      </c>
      <c r="Y186" s="8">
        <v>2.2875916999999999E-2</v>
      </c>
      <c r="Z186" s="8">
        <f t="shared" si="24"/>
        <v>5.3369412088896746E-7</v>
      </c>
      <c r="AA186" s="8">
        <v>0.26499962300000002</v>
      </c>
      <c r="AB186" s="8">
        <f t="shared" si="25"/>
        <v>6.1824293571660023E-6</v>
      </c>
      <c r="AC186" s="8">
        <v>13.20018303</v>
      </c>
      <c r="AD186" s="18">
        <f t="shared" si="26"/>
        <v>3.0795967994504077E-4</v>
      </c>
      <c r="AE186" s="9">
        <v>95.7</v>
      </c>
      <c r="AF186" s="10">
        <v>93.8</v>
      </c>
      <c r="AG186" s="10">
        <v>82.5</v>
      </c>
      <c r="AH186" s="10">
        <v>97.2</v>
      </c>
      <c r="AI186" s="10">
        <v>95.8</v>
      </c>
      <c r="AJ186" s="10">
        <v>95.8</v>
      </c>
      <c r="AK186" s="11">
        <v>42863.348319999997</v>
      </c>
      <c r="AL186" s="11">
        <v>50.385431500000003</v>
      </c>
      <c r="AM186" s="11">
        <v>10469.719419999999</v>
      </c>
      <c r="AN186" s="11">
        <v>8.3000000000000007</v>
      </c>
      <c r="AO186" s="11">
        <v>85.402000000000001</v>
      </c>
      <c r="AP186" s="19">
        <v>3.7201993400000002</v>
      </c>
    </row>
    <row r="187" spans="2:42">
      <c r="B187" t="s">
        <v>41</v>
      </c>
      <c r="C187" t="s">
        <v>42</v>
      </c>
      <c r="D187" t="s">
        <v>43</v>
      </c>
      <c r="E187" t="s">
        <v>35</v>
      </c>
      <c r="F187" t="s">
        <v>36</v>
      </c>
      <c r="G187" t="s">
        <v>37</v>
      </c>
      <c r="H187" t="s">
        <v>38</v>
      </c>
      <c r="I187" t="s">
        <v>39</v>
      </c>
      <c r="J187" t="s">
        <v>40</v>
      </c>
      <c r="K187">
        <v>2012</v>
      </c>
      <c r="L187">
        <v>0.47962815990178698</v>
      </c>
      <c r="M187" s="7">
        <v>83.831261170000005</v>
      </c>
      <c r="N187" s="7">
        <f t="shared" si="18"/>
        <v>1.8162402189219999E-3</v>
      </c>
      <c r="O187" s="8">
        <v>5.4710215959999999</v>
      </c>
      <c r="P187" s="8">
        <f t="shared" si="19"/>
        <v>1.1853202877498864E-4</v>
      </c>
      <c r="Q187" s="8">
        <v>0.736674304</v>
      </c>
      <c r="R187" s="8">
        <f t="shared" si="20"/>
        <v>1.5960364671812698E-5</v>
      </c>
      <c r="S187" s="8">
        <v>0.77922244200000002</v>
      </c>
      <c r="T187" s="8">
        <f t="shared" si="21"/>
        <v>1.6882188325630019E-5</v>
      </c>
      <c r="U187" s="8">
        <v>6.1883987000000001E-2</v>
      </c>
      <c r="V187" s="8">
        <f t="shared" si="22"/>
        <v>1.340743113344315E-6</v>
      </c>
      <c r="W187" s="8">
        <v>9.0683484999999994E-2</v>
      </c>
      <c r="X187" s="8">
        <f t="shared" si="23"/>
        <v>2.9047774442525928E-11</v>
      </c>
      <c r="Y187" s="8">
        <v>1.8099484999999998E-2</v>
      </c>
      <c r="Z187" s="8">
        <f t="shared" si="24"/>
        <v>3.9213310333137918E-7</v>
      </c>
      <c r="AA187" s="8">
        <v>3.1407082000000003E-2</v>
      </c>
      <c r="AB187" s="8">
        <f t="shared" si="25"/>
        <v>6.8044789844811069E-7</v>
      </c>
      <c r="AC187" s="8">
        <v>2.2078678840000001</v>
      </c>
      <c r="AD187" s="18">
        <f t="shared" si="26"/>
        <v>4.7834404409772193E-5</v>
      </c>
      <c r="AE187" s="9">
        <v>89.6</v>
      </c>
      <c r="AF187" s="10">
        <v>92.9</v>
      </c>
      <c r="AG187" s="10">
        <v>96.2</v>
      </c>
      <c r="AH187" s="10">
        <v>91.5</v>
      </c>
      <c r="AI187" s="10">
        <v>97.7</v>
      </c>
      <c r="AJ187" s="10">
        <v>95.3</v>
      </c>
      <c r="AK187" s="11">
        <v>46156.483209999999</v>
      </c>
      <c r="AL187" s="11">
        <v>33.145904000000002</v>
      </c>
      <c r="AM187" s="11">
        <v>8526.9367430000002</v>
      </c>
      <c r="AN187" s="11">
        <v>34.4</v>
      </c>
      <c r="AO187" s="11">
        <v>57.146999999999998</v>
      </c>
      <c r="AP187" s="19">
        <v>1.2830027900000001</v>
      </c>
    </row>
    <row r="188" spans="2:42">
      <c r="B188" t="s">
        <v>44</v>
      </c>
      <c r="C188" t="s">
        <v>45</v>
      </c>
      <c r="D188" t="s">
        <v>46</v>
      </c>
      <c r="E188" t="s">
        <v>35</v>
      </c>
      <c r="F188" t="s">
        <v>36</v>
      </c>
      <c r="G188" t="s">
        <v>37</v>
      </c>
      <c r="H188" t="s">
        <v>38</v>
      </c>
      <c r="I188" t="s">
        <v>39</v>
      </c>
      <c r="J188" t="s">
        <v>40</v>
      </c>
      <c r="K188">
        <v>2012</v>
      </c>
      <c r="L188">
        <v>2.3016347086514101E-2</v>
      </c>
      <c r="M188" s="7">
        <v>50.451293249999999</v>
      </c>
      <c r="N188" s="7">
        <f t="shared" si="18"/>
        <v>3.1543598013714599E-3</v>
      </c>
      <c r="O188" s="8">
        <v>7.5650238950000004</v>
      </c>
      <c r="P188" s="8">
        <f t="shared" si="19"/>
        <v>4.7298702835140007E-4</v>
      </c>
      <c r="Q188" s="8">
        <v>4.9264246999999997E-2</v>
      </c>
      <c r="R188" s="8">
        <f t="shared" si="20"/>
        <v>3.0801422594183852E-6</v>
      </c>
      <c r="S188" s="8">
        <v>4.9547716350000002</v>
      </c>
      <c r="T188" s="8">
        <f t="shared" si="21"/>
        <v>3.0978655775924124E-4</v>
      </c>
      <c r="U188" s="8">
        <v>1.2951620000000001E-3</v>
      </c>
      <c r="V188" s="8">
        <f t="shared" si="22"/>
        <v>8.0977249261372756E-8</v>
      </c>
      <c r="W188" s="8">
        <v>1.1080504E-2</v>
      </c>
      <c r="X188" s="8">
        <f t="shared" si="23"/>
        <v>5.0629302727678037E-12</v>
      </c>
      <c r="Y188" s="8">
        <v>5.0275099999999996E-4</v>
      </c>
      <c r="Z188" s="8">
        <f t="shared" si="24"/>
        <v>3.1433436931754024E-8</v>
      </c>
      <c r="AA188" s="8">
        <v>3.6665609000000002E-2</v>
      </c>
      <c r="AB188" s="8">
        <f t="shared" si="25"/>
        <v>2.2924392155676526E-6</v>
      </c>
      <c r="AC188" s="8">
        <v>2.5619260800000001</v>
      </c>
      <c r="AD188" s="18">
        <f t="shared" si="26"/>
        <v>1.6017897897666208E-4</v>
      </c>
      <c r="AE188" s="9">
        <v>11.8</v>
      </c>
      <c r="AF188" s="10">
        <v>24.6</v>
      </c>
      <c r="AG188" s="10">
        <v>23.2</v>
      </c>
      <c r="AH188" s="10">
        <v>33.200000000000003</v>
      </c>
      <c r="AI188" s="10">
        <v>21.6</v>
      </c>
      <c r="AJ188" s="10">
        <v>12.2</v>
      </c>
      <c r="AK188" s="11">
        <v>15994.146650000001</v>
      </c>
      <c r="AL188" s="11">
        <v>57.687096199999999</v>
      </c>
      <c r="AM188" s="11">
        <v>2052.6509649999998</v>
      </c>
      <c r="AN188" s="11">
        <v>2.8</v>
      </c>
      <c r="AO188" s="11">
        <v>53.883000000000003</v>
      </c>
      <c r="AP188" s="19">
        <v>7.59651868</v>
      </c>
    </row>
    <row r="189" spans="2:42">
      <c r="B189" t="s">
        <v>47</v>
      </c>
      <c r="C189" t="s">
        <v>48</v>
      </c>
      <c r="D189" t="s">
        <v>49</v>
      </c>
      <c r="E189" t="s">
        <v>35</v>
      </c>
      <c r="F189" t="s">
        <v>36</v>
      </c>
      <c r="G189" t="s">
        <v>37</v>
      </c>
      <c r="H189" t="s">
        <v>38</v>
      </c>
      <c r="I189" t="s">
        <v>39</v>
      </c>
      <c r="J189" t="s">
        <v>40</v>
      </c>
      <c r="K189">
        <v>2012</v>
      </c>
      <c r="L189">
        <v>1.57607302388813</v>
      </c>
      <c r="M189" s="7">
        <v>2.9236274E-2</v>
      </c>
      <c r="N189" s="7">
        <f t="shared" si="18"/>
        <v>6.8817909888191855E-7</v>
      </c>
      <c r="O189" s="8">
        <v>7.1527799060000001</v>
      </c>
      <c r="P189" s="8">
        <f t="shared" si="19"/>
        <v>1.68365969966343E-4</v>
      </c>
      <c r="Q189" s="8">
        <v>0.29356560100000001</v>
      </c>
      <c r="R189" s="8">
        <f t="shared" si="20"/>
        <v>6.9101045762161372E-6</v>
      </c>
      <c r="S189" s="8">
        <v>2.5038029019999999</v>
      </c>
      <c r="T189" s="8">
        <f t="shared" si="21"/>
        <v>5.8935855672863535E-5</v>
      </c>
      <c r="U189" s="8">
        <v>4.1720286000000002E-2</v>
      </c>
      <c r="V189" s="8">
        <f t="shared" si="22"/>
        <v>9.8203446939154847E-7</v>
      </c>
      <c r="W189" s="8">
        <v>7.7653632E-2</v>
      </c>
      <c r="X189" s="8">
        <f t="shared" si="23"/>
        <v>2.3115654074690191E-11</v>
      </c>
      <c r="Y189" s="8">
        <v>6.2461768000000001E-2</v>
      </c>
      <c r="Z189" s="8">
        <f t="shared" si="24"/>
        <v>1.4702585978230831E-6</v>
      </c>
      <c r="AA189" s="8">
        <v>3.1717153999999997E-2</v>
      </c>
      <c r="AB189" s="8">
        <f t="shared" si="25"/>
        <v>7.4657538299234159E-7</v>
      </c>
      <c r="AC189" s="8">
        <v>2.390800037</v>
      </c>
      <c r="AD189" s="18">
        <f t="shared" si="26"/>
        <v>5.6275933625109601E-5</v>
      </c>
      <c r="AE189" s="9">
        <v>91.5</v>
      </c>
      <c r="AF189" s="10">
        <v>94.8</v>
      </c>
      <c r="AG189" s="10">
        <v>76.3</v>
      </c>
      <c r="AH189" s="10">
        <v>86.7</v>
      </c>
      <c r="AI189" s="10">
        <v>90.1</v>
      </c>
      <c r="AJ189" s="10">
        <v>93</v>
      </c>
      <c r="AK189" s="11">
        <v>42483.525070000003</v>
      </c>
      <c r="AL189" s="11">
        <v>43.912570500000001</v>
      </c>
      <c r="AM189" s="11">
        <v>8001.0393510000004</v>
      </c>
      <c r="AN189" s="11">
        <v>7.7</v>
      </c>
      <c r="AO189" s="11">
        <v>97.744</v>
      </c>
      <c r="AP189" s="19">
        <v>2.3695690100000002</v>
      </c>
    </row>
    <row r="190" spans="2:42">
      <c r="B190" t="s">
        <v>50</v>
      </c>
      <c r="C190" t="s">
        <v>51</v>
      </c>
      <c r="D190" t="s">
        <v>52</v>
      </c>
      <c r="E190" t="s">
        <v>35</v>
      </c>
      <c r="F190" t="s">
        <v>36</v>
      </c>
      <c r="G190" t="s">
        <v>37</v>
      </c>
      <c r="H190" t="s">
        <v>38</v>
      </c>
      <c r="I190" t="s">
        <v>39</v>
      </c>
      <c r="J190" t="s">
        <v>40</v>
      </c>
      <c r="K190">
        <v>2012</v>
      </c>
      <c r="L190">
        <v>0.68427951753931404</v>
      </c>
      <c r="M190" s="7">
        <v>207.9499568</v>
      </c>
      <c r="N190" s="7">
        <f t="shared" si="18"/>
        <v>1.2736344217818017E-2</v>
      </c>
      <c r="O190" s="8">
        <v>2.1300674910000001</v>
      </c>
      <c r="P190" s="8">
        <f t="shared" si="19"/>
        <v>1.3046058383485071E-4</v>
      </c>
      <c r="Q190" s="8">
        <v>0.37013697499999998</v>
      </c>
      <c r="R190" s="8">
        <f t="shared" si="20"/>
        <v>2.2669838425962595E-5</v>
      </c>
      <c r="S190" s="8">
        <v>1.139676033</v>
      </c>
      <c r="T190" s="8">
        <f t="shared" si="21"/>
        <v>6.9801920021775768E-5</v>
      </c>
      <c r="U190" s="8">
        <v>1.0996967999999999E-2</v>
      </c>
      <c r="V190" s="8">
        <f t="shared" si="22"/>
        <v>6.7353305552756795E-7</v>
      </c>
      <c r="W190" s="8">
        <v>9.5030189999999997E-3</v>
      </c>
      <c r="X190" s="8">
        <f t="shared" si="23"/>
        <v>4.1251986628341737E-11</v>
      </c>
      <c r="Y190" s="8">
        <v>7.3620739999999997E-3</v>
      </c>
      <c r="Z190" s="8">
        <f t="shared" si="24"/>
        <v>4.5090612214567365E-7</v>
      </c>
      <c r="AA190" s="8">
        <v>4.2286191000000001E-2</v>
      </c>
      <c r="AB190" s="8">
        <f t="shared" si="25"/>
        <v>2.5899090941114265E-6</v>
      </c>
      <c r="AC190" s="8">
        <v>5.5519938099999999</v>
      </c>
      <c r="AD190" s="18">
        <f t="shared" si="26"/>
        <v>3.400438516434206E-4</v>
      </c>
      <c r="AE190" s="9">
        <v>48.8</v>
      </c>
      <c r="AF190" s="10">
        <v>55.5</v>
      </c>
      <c r="AG190" s="10">
        <v>58.8</v>
      </c>
      <c r="AH190" s="10">
        <v>69.2</v>
      </c>
      <c r="AI190" s="10">
        <v>51.6</v>
      </c>
      <c r="AJ190" s="10">
        <v>61.5</v>
      </c>
      <c r="AK190" s="11">
        <v>16327.28774</v>
      </c>
      <c r="AL190" s="11">
        <v>47.190493699999998</v>
      </c>
      <c r="AM190" s="11">
        <v>4757.1219270000001</v>
      </c>
      <c r="AN190" s="11">
        <v>15.6</v>
      </c>
      <c r="AO190" s="11">
        <v>72.974999999999994</v>
      </c>
      <c r="AP190" s="19">
        <v>3.2931990500000001</v>
      </c>
    </row>
    <row r="191" spans="2:42">
      <c r="B191" t="s">
        <v>53</v>
      </c>
      <c r="C191" t="s">
        <v>54</v>
      </c>
      <c r="D191" t="s">
        <v>55</v>
      </c>
      <c r="E191" t="s">
        <v>35</v>
      </c>
      <c r="F191" t="s">
        <v>36</v>
      </c>
      <c r="G191" t="s">
        <v>37</v>
      </c>
      <c r="H191" t="s">
        <v>38</v>
      </c>
      <c r="I191" t="s">
        <v>39</v>
      </c>
      <c r="J191" t="s">
        <v>40</v>
      </c>
      <c r="K191">
        <v>2012</v>
      </c>
      <c r="L191">
        <v>0.64087092771950105</v>
      </c>
      <c r="M191" s="7">
        <v>9.4747742489999993</v>
      </c>
      <c r="N191" s="7">
        <f t="shared" si="18"/>
        <v>2.2403244848477385E-4</v>
      </c>
      <c r="O191" s="8">
        <v>30.378400320000001</v>
      </c>
      <c r="P191" s="8">
        <f t="shared" si="19"/>
        <v>7.183018007482911E-4</v>
      </c>
      <c r="Q191" s="8">
        <v>0.99113170799999994</v>
      </c>
      <c r="R191" s="8">
        <f t="shared" si="20"/>
        <v>2.3435456875140996E-5</v>
      </c>
      <c r="S191" s="8">
        <v>74.016234260000004</v>
      </c>
      <c r="T191" s="8">
        <f t="shared" si="21"/>
        <v>1.7501248845734271E-3</v>
      </c>
      <c r="U191" s="8">
        <v>0.27312704799999998</v>
      </c>
      <c r="V191" s="8">
        <f t="shared" si="22"/>
        <v>6.458129735103344E-6</v>
      </c>
      <c r="W191" s="8">
        <v>0.14467774799999999</v>
      </c>
      <c r="X191" s="8">
        <f t="shared" si="23"/>
        <v>1.5270343959279343E-10</v>
      </c>
      <c r="Y191" s="8">
        <v>0.139780075</v>
      </c>
      <c r="Z191" s="8">
        <f t="shared" si="24"/>
        <v>3.3051206950857377E-6</v>
      </c>
      <c r="AA191" s="8">
        <v>0.71114638699999999</v>
      </c>
      <c r="AB191" s="8">
        <f t="shared" si="25"/>
        <v>1.6815162253340833E-5</v>
      </c>
      <c r="AC191" s="8">
        <v>18.7071717</v>
      </c>
      <c r="AD191" s="18">
        <f t="shared" si="26"/>
        <v>4.4233386147626716E-4</v>
      </c>
      <c r="AE191" s="9">
        <v>95.3</v>
      </c>
      <c r="AF191" s="10">
        <v>95.3</v>
      </c>
      <c r="AG191" s="10">
        <v>89.1</v>
      </c>
      <c r="AH191" s="10">
        <v>95.7</v>
      </c>
      <c r="AI191" s="10">
        <v>95.3</v>
      </c>
      <c r="AJ191" s="10">
        <v>94.4</v>
      </c>
      <c r="AK191" s="11">
        <v>42291.97294</v>
      </c>
      <c r="AL191" s="11">
        <v>6.4436361700000004</v>
      </c>
      <c r="AM191" s="11">
        <v>16107.384480000001</v>
      </c>
      <c r="AN191" s="11">
        <v>21.8</v>
      </c>
      <c r="AO191" s="11">
        <v>81.137</v>
      </c>
      <c r="AP191" s="19">
        <v>2.7001690100000002</v>
      </c>
    </row>
    <row r="192" spans="2:42">
      <c r="B192" t="s">
        <v>56</v>
      </c>
      <c r="C192" t="s">
        <v>57</v>
      </c>
      <c r="D192" t="s">
        <v>58</v>
      </c>
      <c r="E192" t="s">
        <v>35</v>
      </c>
      <c r="F192" t="s">
        <v>36</v>
      </c>
      <c r="G192" t="s">
        <v>37</v>
      </c>
      <c r="H192" t="s">
        <v>38</v>
      </c>
      <c r="I192" t="s">
        <v>39</v>
      </c>
      <c r="J192" t="s">
        <v>40</v>
      </c>
      <c r="K192">
        <v>2012</v>
      </c>
      <c r="L192">
        <v>8.09732751332599E-2</v>
      </c>
      <c r="M192" s="7">
        <v>738.47397869999998</v>
      </c>
      <c r="N192" s="7">
        <f t="shared" si="18"/>
        <v>3.4562756557096834E-2</v>
      </c>
      <c r="O192" s="8">
        <v>8.6447795579999998</v>
      </c>
      <c r="P192" s="8">
        <f t="shared" si="19"/>
        <v>4.0460113689977633E-4</v>
      </c>
      <c r="Q192" s="8">
        <v>1.2939346110000001</v>
      </c>
      <c r="R192" s="8">
        <f t="shared" si="20"/>
        <v>6.0559949640368824E-5</v>
      </c>
      <c r="S192" s="8">
        <v>1.9610104530000001</v>
      </c>
      <c r="T192" s="8">
        <f t="shared" si="21"/>
        <v>9.1781063176087226E-5</v>
      </c>
      <c r="U192" s="8">
        <v>7.4061663E-2</v>
      </c>
      <c r="V192" s="8">
        <f t="shared" si="22"/>
        <v>3.4663038946733659E-6</v>
      </c>
      <c r="W192" s="8">
        <v>0.15037863300000001</v>
      </c>
      <c r="X192" s="8">
        <f t="shared" si="23"/>
        <v>1.6223322841437878E-10</v>
      </c>
      <c r="Y192" s="8">
        <v>2.4152816000000001E-2</v>
      </c>
      <c r="Z192" s="8">
        <f t="shared" si="24"/>
        <v>1.1304229040621081E-6</v>
      </c>
      <c r="AA192" s="8">
        <v>6.8001167000000001E-2</v>
      </c>
      <c r="AB192" s="8">
        <f t="shared" si="25"/>
        <v>3.1826548374215412E-6</v>
      </c>
      <c r="AC192" s="8">
        <v>10.94046095</v>
      </c>
      <c r="AD192" s="18">
        <f t="shared" si="26"/>
        <v>5.1204578542216744E-4</v>
      </c>
      <c r="AE192" s="9">
        <v>91</v>
      </c>
      <c r="AF192" s="10">
        <v>84.4</v>
      </c>
      <c r="AG192" s="10">
        <v>57.8</v>
      </c>
      <c r="AH192" s="10">
        <v>92.4</v>
      </c>
      <c r="AI192" s="10">
        <v>86.9</v>
      </c>
      <c r="AJ192" s="10">
        <v>83.1</v>
      </c>
      <c r="AK192" s="11">
        <v>21366.17713</v>
      </c>
      <c r="AL192" s="11">
        <v>18.8793127</v>
      </c>
      <c r="AM192" s="11">
        <v>3781.697013</v>
      </c>
      <c r="AN192" s="11">
        <v>30.3</v>
      </c>
      <c r="AO192" s="11">
        <v>87.188999999999993</v>
      </c>
      <c r="AP192" s="19">
        <v>11.909744999999999</v>
      </c>
    </row>
    <row r="193" spans="2:42">
      <c r="B193" t="s">
        <v>59</v>
      </c>
      <c r="C193" t="s">
        <v>60</v>
      </c>
      <c r="D193" t="s">
        <v>61</v>
      </c>
      <c r="E193" t="s">
        <v>35</v>
      </c>
      <c r="F193" t="s">
        <v>36</v>
      </c>
      <c r="G193" t="s">
        <v>37</v>
      </c>
      <c r="H193" t="s">
        <v>38</v>
      </c>
      <c r="I193" t="s">
        <v>39</v>
      </c>
      <c r="J193" t="s">
        <v>40</v>
      </c>
      <c r="K193">
        <v>2012</v>
      </c>
      <c r="L193">
        <v>7.7093961917912193E-2</v>
      </c>
      <c r="M193" s="7">
        <v>0.215685032</v>
      </c>
      <c r="N193" s="7">
        <f t="shared" si="18"/>
        <v>9.9760828161992742E-6</v>
      </c>
      <c r="O193" s="8">
        <v>1.5387831439999999</v>
      </c>
      <c r="P193" s="8">
        <f t="shared" si="19"/>
        <v>7.1173358384533114E-5</v>
      </c>
      <c r="Q193" s="8">
        <v>0.41541557000000001</v>
      </c>
      <c r="R193" s="8">
        <f t="shared" si="20"/>
        <v>1.9214222197202013E-5</v>
      </c>
      <c r="S193" s="8">
        <v>0.33471506499999998</v>
      </c>
      <c r="T193" s="8">
        <f t="shared" si="21"/>
        <v>1.5481580605322314E-5</v>
      </c>
      <c r="U193" s="8">
        <v>4.8269990000000002E-3</v>
      </c>
      <c r="V193" s="8">
        <f t="shared" si="22"/>
        <v>2.2326325258264135E-7</v>
      </c>
      <c r="W193" s="8">
        <v>4.4889400000000003E-3</v>
      </c>
      <c r="X193" s="8">
        <f t="shared" si="23"/>
        <v>1.0326598359307783E-11</v>
      </c>
      <c r="Y193" s="8">
        <v>1.284355E-3</v>
      </c>
      <c r="Z193" s="8">
        <f t="shared" si="24"/>
        <v>5.9405289864526247E-8</v>
      </c>
      <c r="AA193" s="8">
        <v>1.4396357E-2</v>
      </c>
      <c r="AB193" s="8">
        <f t="shared" si="25"/>
        <v>6.6587490263844607E-7</v>
      </c>
      <c r="AC193" s="8">
        <v>1.3542415219999999</v>
      </c>
      <c r="AD193" s="18">
        <f t="shared" si="26"/>
        <v>6.2637752148733951E-5</v>
      </c>
      <c r="AE193" s="9">
        <v>58.3</v>
      </c>
      <c r="AF193" s="10">
        <v>71.599999999999994</v>
      </c>
      <c r="AG193" s="10">
        <v>65.400000000000006</v>
      </c>
      <c r="AH193" s="10">
        <v>63</v>
      </c>
      <c r="AI193" s="10">
        <v>59.2</v>
      </c>
      <c r="AJ193" s="10">
        <v>64.8</v>
      </c>
      <c r="AK193" s="11">
        <v>21620.212660000001</v>
      </c>
      <c r="AL193" s="11">
        <v>23.783146299999999</v>
      </c>
      <c r="AM193" s="11">
        <v>3825.7258529999999</v>
      </c>
      <c r="AN193" s="11">
        <v>29.4</v>
      </c>
      <c r="AO193" s="11">
        <v>55.506</v>
      </c>
      <c r="AP193" s="19">
        <v>2.5456994800000001</v>
      </c>
    </row>
    <row r="194" spans="2:42">
      <c r="B194" t="s">
        <v>62</v>
      </c>
      <c r="C194" t="s">
        <v>63</v>
      </c>
      <c r="D194" t="s">
        <v>64</v>
      </c>
      <c r="E194" t="s">
        <v>35</v>
      </c>
      <c r="F194" t="s">
        <v>36</v>
      </c>
      <c r="G194" t="s">
        <v>37</v>
      </c>
      <c r="H194" t="s">
        <v>38</v>
      </c>
      <c r="I194" t="s">
        <v>39</v>
      </c>
      <c r="J194" t="s">
        <v>40</v>
      </c>
      <c r="K194">
        <v>2012</v>
      </c>
      <c r="L194">
        <v>0.27828359207020398</v>
      </c>
      <c r="M194" s="7">
        <v>8.6119431720000001</v>
      </c>
      <c r="N194" s="7">
        <f t="shared" si="18"/>
        <v>2.6976401245565172E-4</v>
      </c>
      <c r="O194" s="8">
        <v>0.36278054799999998</v>
      </c>
      <c r="P194" s="8">
        <f t="shared" si="19"/>
        <v>1.1363885515121483E-5</v>
      </c>
      <c r="Q194" s="8">
        <v>6.7535759999999999E-3</v>
      </c>
      <c r="R194" s="8">
        <f t="shared" si="20"/>
        <v>2.1155176291776284E-7</v>
      </c>
      <c r="S194" s="8">
        <v>3.109208E-3</v>
      </c>
      <c r="T194" s="8">
        <f t="shared" si="21"/>
        <v>9.7394096650131955E-8</v>
      </c>
      <c r="U194" s="8">
        <v>5.6132600000000001E-4</v>
      </c>
      <c r="V194" s="8">
        <f t="shared" si="22"/>
        <v>1.7583204049465965E-8</v>
      </c>
      <c r="W194" s="8">
        <v>2.1933450000000002E-3</v>
      </c>
      <c r="X194" s="8">
        <f t="shared" si="23"/>
        <v>5.5078343893772297E-13</v>
      </c>
      <c r="Y194" s="8"/>
      <c r="Z194" s="8">
        <f t="shared" si="24"/>
        <v>0</v>
      </c>
      <c r="AA194" s="8">
        <v>4.8179190000000004E-3</v>
      </c>
      <c r="AB194" s="8">
        <f t="shared" si="25"/>
        <v>1.5091845535535326E-7</v>
      </c>
      <c r="AC194" s="8">
        <v>0.59280660900000004</v>
      </c>
      <c r="AD194" s="18">
        <f t="shared" si="26"/>
        <v>1.8569315456470903E-5</v>
      </c>
      <c r="AE194" s="9">
        <v>84.8</v>
      </c>
      <c r="AF194" s="10">
        <v>88.2</v>
      </c>
      <c r="AG194" s="10">
        <v>66.8</v>
      </c>
      <c r="AH194" s="10">
        <v>83.9</v>
      </c>
      <c r="AI194" s="10">
        <v>84</v>
      </c>
      <c r="AJ194" s="10">
        <v>79.3</v>
      </c>
      <c r="AK194" s="11">
        <v>31923.988280000001</v>
      </c>
      <c r="AL194" s="11">
        <v>12.6515152</v>
      </c>
      <c r="AM194" s="11">
        <v>3929.991239</v>
      </c>
      <c r="AN194" s="11">
        <v>8.6</v>
      </c>
      <c r="AO194" s="11">
        <v>67.260999999999996</v>
      </c>
      <c r="AP194" s="19">
        <v>289.85811100000001</v>
      </c>
    </row>
    <row r="195" spans="2:42">
      <c r="B195" t="s">
        <v>65</v>
      </c>
      <c r="C195" t="s">
        <v>66</v>
      </c>
      <c r="D195" t="s">
        <v>67</v>
      </c>
      <c r="E195" t="s">
        <v>35</v>
      </c>
      <c r="F195" t="s">
        <v>36</v>
      </c>
      <c r="G195" t="s">
        <v>37</v>
      </c>
      <c r="H195" t="s">
        <v>38</v>
      </c>
      <c r="I195" t="s">
        <v>39</v>
      </c>
      <c r="J195" t="s">
        <v>40</v>
      </c>
      <c r="K195">
        <v>2012</v>
      </c>
      <c r="L195">
        <v>1.3184680912673099</v>
      </c>
      <c r="M195" s="7">
        <v>8.6119431720000001</v>
      </c>
      <c r="N195" s="7">
        <f t="shared" ref="N195:N258" si="27">M195/AK195</f>
        <v>2.9227102143497644E-4</v>
      </c>
      <c r="O195" s="8">
        <v>4.965463669</v>
      </c>
      <c r="P195" s="8">
        <f t="shared" ref="P195:P258" si="28">O195/AK195</f>
        <v>1.6851726833908741E-4</v>
      </c>
      <c r="Q195" s="8">
        <v>0.945722171</v>
      </c>
      <c r="R195" s="8">
        <f t="shared" ref="R195:R258" si="29">Q195/AK195</f>
        <v>3.2095797590787148E-5</v>
      </c>
      <c r="S195" s="8">
        <v>3.8146468040000001</v>
      </c>
      <c r="T195" s="8">
        <f t="shared" ref="T195:T258" si="30">S195/AK195</f>
        <v>1.2946099336136544E-4</v>
      </c>
      <c r="U195" s="8">
        <v>3.1655845000000002E-2</v>
      </c>
      <c r="V195" s="8">
        <f t="shared" ref="V195:V258" si="31">U195/AK195</f>
        <v>1.0743320024008737E-6</v>
      </c>
      <c r="W195" s="8">
        <v>4.1375948000000003E-2</v>
      </c>
      <c r="X195" s="8">
        <f t="shared" ref="X195:X258" si="32">V195/AK195</f>
        <v>3.6460541532935568E-11</v>
      </c>
      <c r="Y195" s="8">
        <v>1.4930418000000001E-2</v>
      </c>
      <c r="Z195" s="8">
        <f t="shared" ref="Z195:Z258" si="33">Y195/AK195</f>
        <v>5.0670660873598692E-7</v>
      </c>
      <c r="AA195" s="8">
        <v>4.2703288999999998E-2</v>
      </c>
      <c r="AB195" s="8">
        <f t="shared" ref="AB195:AB258" si="34">AA195/AK195</f>
        <v>1.4492587381721511E-6</v>
      </c>
      <c r="AC195" s="8">
        <v>5.2524865409999997</v>
      </c>
      <c r="AD195" s="18">
        <f t="shared" ref="AD195:AD258" si="35">AC195/AK195</f>
        <v>1.7825821370985888E-4</v>
      </c>
      <c r="AE195" s="9">
        <v>66.400000000000006</v>
      </c>
      <c r="AF195" s="10">
        <v>76.3</v>
      </c>
      <c r="AG195" s="10">
        <v>86.7</v>
      </c>
      <c r="AH195" s="10">
        <v>80.599999999999994</v>
      </c>
      <c r="AI195" s="10">
        <v>81.2</v>
      </c>
      <c r="AJ195" s="10">
        <v>77</v>
      </c>
      <c r="AK195" s="11">
        <v>29465.607400000001</v>
      </c>
      <c r="AL195" s="11">
        <v>45.6544089</v>
      </c>
      <c r="AM195" s="11">
        <v>6289.8251650000002</v>
      </c>
      <c r="AN195" s="11">
        <v>12.8</v>
      </c>
      <c r="AO195" s="11">
        <v>73.197000000000003</v>
      </c>
      <c r="AP195" s="19">
        <v>4.4842438099999997</v>
      </c>
    </row>
    <row r="196" spans="2:42">
      <c r="B196" t="s">
        <v>68</v>
      </c>
      <c r="C196" t="s">
        <v>69</v>
      </c>
      <c r="D196" t="s">
        <v>70</v>
      </c>
      <c r="E196" t="s">
        <v>35</v>
      </c>
      <c r="F196" t="s">
        <v>36</v>
      </c>
      <c r="G196" t="s">
        <v>37</v>
      </c>
      <c r="H196" t="s">
        <v>38</v>
      </c>
      <c r="I196" t="s">
        <v>39</v>
      </c>
      <c r="J196" t="s">
        <v>40</v>
      </c>
      <c r="K196">
        <v>2012</v>
      </c>
      <c r="L196">
        <v>0.39989403705114801</v>
      </c>
      <c r="M196" s="7">
        <v>738.47397869999998</v>
      </c>
      <c r="N196" s="7">
        <f t="shared" si="27"/>
        <v>1.6500308313147596E-2</v>
      </c>
      <c r="O196" s="8">
        <v>6.9077459790000004</v>
      </c>
      <c r="P196" s="8">
        <f t="shared" si="28"/>
        <v>1.5434523312934383E-4</v>
      </c>
      <c r="Q196" s="8">
        <v>0.33797375600000001</v>
      </c>
      <c r="R196" s="8">
        <f t="shared" si="29"/>
        <v>7.5516150014786138E-6</v>
      </c>
      <c r="S196" s="8">
        <v>0.382290768</v>
      </c>
      <c r="T196" s="8">
        <f t="shared" si="30"/>
        <v>8.5418250598001468E-6</v>
      </c>
      <c r="U196" s="8">
        <v>9.0880279999999997E-3</v>
      </c>
      <c r="V196" s="8">
        <f t="shared" si="31"/>
        <v>2.0306099914650673E-7</v>
      </c>
      <c r="W196" s="8">
        <v>8.3694128000000007E-2</v>
      </c>
      <c r="X196" s="8">
        <f t="shared" si="32"/>
        <v>4.5371525455662778E-12</v>
      </c>
      <c r="Y196" s="8"/>
      <c r="Z196" s="8">
        <f t="shared" si="33"/>
        <v>0</v>
      </c>
      <c r="AA196" s="8">
        <v>1.9340192999999999E-2</v>
      </c>
      <c r="AB196" s="8">
        <f t="shared" si="34"/>
        <v>4.3213323223324965E-7</v>
      </c>
      <c r="AC196" s="8">
        <v>1.2744845220000001</v>
      </c>
      <c r="AD196" s="18">
        <f t="shared" si="35"/>
        <v>2.8476815920250034E-5</v>
      </c>
      <c r="AE196" s="9">
        <v>100</v>
      </c>
      <c r="AF196" s="10">
        <v>99.1</v>
      </c>
      <c r="AG196" s="10">
        <v>75.8</v>
      </c>
      <c r="AH196" s="10">
        <v>97.6</v>
      </c>
      <c r="AI196" s="10">
        <v>98.1</v>
      </c>
      <c r="AJ196" s="10">
        <v>99.1</v>
      </c>
      <c r="AK196" s="11">
        <v>44755.162429999997</v>
      </c>
      <c r="AL196" s="11">
        <v>65.599999999999994</v>
      </c>
      <c r="AM196" s="11">
        <v>6038.373466</v>
      </c>
      <c r="AN196" s="11">
        <v>26.9</v>
      </c>
      <c r="AO196" s="11">
        <v>87.141999999999996</v>
      </c>
      <c r="AP196" s="19">
        <v>-5.0031203</v>
      </c>
    </row>
    <row r="197" spans="2:42">
      <c r="B197" t="s">
        <v>71</v>
      </c>
      <c r="C197" t="s">
        <v>72</v>
      </c>
      <c r="D197" t="s">
        <v>73</v>
      </c>
      <c r="E197" t="s">
        <v>35</v>
      </c>
      <c r="F197" t="s">
        <v>36</v>
      </c>
      <c r="G197" t="s">
        <v>37</v>
      </c>
      <c r="H197" t="s">
        <v>38</v>
      </c>
      <c r="I197" t="s">
        <v>39</v>
      </c>
      <c r="J197" t="s">
        <v>40</v>
      </c>
      <c r="K197">
        <v>2012</v>
      </c>
      <c r="L197">
        <v>0.139313396593576</v>
      </c>
      <c r="M197" s="7">
        <v>316.8834281</v>
      </c>
      <c r="N197" s="7">
        <f t="shared" si="27"/>
        <v>4.7236879920476399E-2</v>
      </c>
      <c r="O197" s="8">
        <v>2.0414707590000001</v>
      </c>
      <c r="P197" s="8">
        <f t="shared" si="28"/>
        <v>3.0431603723251569E-4</v>
      </c>
      <c r="Q197" s="8">
        <v>0.119240424</v>
      </c>
      <c r="R197" s="8">
        <f t="shared" si="29"/>
        <v>1.7774819036536078E-5</v>
      </c>
      <c r="S197" s="8">
        <v>2.7509359000000001E-2</v>
      </c>
      <c r="T197" s="8">
        <f t="shared" si="30"/>
        <v>4.1007391758025373E-6</v>
      </c>
      <c r="U197" s="8">
        <v>6.0417630000000003E-3</v>
      </c>
      <c r="V197" s="8">
        <f t="shared" si="31"/>
        <v>9.0062782724287647E-7</v>
      </c>
      <c r="W197" s="8">
        <v>7.8420290000000004E-3</v>
      </c>
      <c r="X197" s="8">
        <f t="shared" si="32"/>
        <v>1.3425393932271498E-10</v>
      </c>
      <c r="Y197" s="8"/>
      <c r="Z197" s="8">
        <f t="shared" si="33"/>
        <v>0</v>
      </c>
      <c r="AA197" s="8">
        <v>1.313514E-2</v>
      </c>
      <c r="AB197" s="8">
        <f t="shared" si="34"/>
        <v>1.9580166581726221E-6</v>
      </c>
      <c r="AC197" s="8">
        <v>1.1847320509999999</v>
      </c>
      <c r="AD197" s="18">
        <f t="shared" si="35"/>
        <v>1.7660451973325111E-4</v>
      </c>
      <c r="AE197" s="9">
        <v>42.7</v>
      </c>
      <c r="AF197" s="10">
        <v>51.7</v>
      </c>
      <c r="AG197" s="10">
        <v>54.5</v>
      </c>
      <c r="AH197" s="10">
        <v>57.8</v>
      </c>
      <c r="AI197" s="10">
        <v>28.6</v>
      </c>
      <c r="AJ197" s="10">
        <v>46.9</v>
      </c>
      <c r="AK197" s="11">
        <v>6708.3903220000002</v>
      </c>
      <c r="AL197" s="11">
        <v>58.986486499999998</v>
      </c>
      <c r="AM197" s="11">
        <v>934.25308410000002</v>
      </c>
      <c r="AN197" s="11">
        <v>30.3</v>
      </c>
      <c r="AO197" s="11">
        <v>67.186999999999998</v>
      </c>
      <c r="AP197" s="19">
        <v>2.0112394600000001</v>
      </c>
    </row>
    <row r="198" spans="2:42">
      <c r="B198" t="s">
        <v>74</v>
      </c>
      <c r="C198" t="s">
        <v>75</v>
      </c>
      <c r="D198" t="s">
        <v>76</v>
      </c>
      <c r="E198" t="s">
        <v>35</v>
      </c>
      <c r="F198" t="s">
        <v>36</v>
      </c>
      <c r="G198" t="s">
        <v>37</v>
      </c>
      <c r="H198" t="s">
        <v>38</v>
      </c>
      <c r="I198" t="s">
        <v>39</v>
      </c>
      <c r="J198" t="s">
        <v>40</v>
      </c>
      <c r="K198">
        <v>2012</v>
      </c>
      <c r="L198">
        <v>0.88353373307234795</v>
      </c>
      <c r="M198" s="7">
        <v>5.887479839</v>
      </c>
      <c r="N198" s="7">
        <f t="shared" si="27"/>
        <v>2.2434880429300955E-4</v>
      </c>
      <c r="O198" s="8">
        <v>0.84130561599999998</v>
      </c>
      <c r="P198" s="8">
        <f t="shared" si="28"/>
        <v>3.2058862901626974E-5</v>
      </c>
      <c r="Q198" s="8">
        <v>0.14625743199999999</v>
      </c>
      <c r="R198" s="8">
        <f t="shared" si="29"/>
        <v>5.5732980639368861E-6</v>
      </c>
      <c r="S198" s="8">
        <v>4.4624832000000003E-2</v>
      </c>
      <c r="T198" s="8">
        <f t="shared" si="30"/>
        <v>1.7004776194149836E-6</v>
      </c>
      <c r="U198" s="8">
        <v>3.744416E-3</v>
      </c>
      <c r="V198" s="8">
        <f t="shared" si="31"/>
        <v>1.4268503253478634E-7</v>
      </c>
      <c r="W198" s="8">
        <v>2.1433987000000002E-2</v>
      </c>
      <c r="X198" s="8">
        <f t="shared" si="32"/>
        <v>5.4371679080137027E-12</v>
      </c>
      <c r="Y198" s="8"/>
      <c r="Z198" s="8">
        <f t="shared" si="33"/>
        <v>0</v>
      </c>
      <c r="AA198" s="8">
        <v>3.2969319999999998E-3</v>
      </c>
      <c r="AB198" s="8">
        <f t="shared" si="34"/>
        <v>1.2563316941412976E-7</v>
      </c>
      <c r="AC198" s="8">
        <v>1.678670023</v>
      </c>
      <c r="AD198" s="18">
        <f t="shared" si="35"/>
        <v>6.3967541760030276E-5</v>
      </c>
      <c r="AE198" s="9">
        <v>81.5</v>
      </c>
      <c r="AF198" s="10">
        <v>77.3</v>
      </c>
      <c r="AG198" s="10">
        <v>67.3</v>
      </c>
      <c r="AH198" s="10">
        <v>91</v>
      </c>
      <c r="AI198" s="10">
        <v>85.9</v>
      </c>
      <c r="AJ198" s="10">
        <v>85.9</v>
      </c>
      <c r="AK198" s="11">
        <v>26242.528269999999</v>
      </c>
      <c r="AL198" s="11">
        <v>22.550129800000001</v>
      </c>
      <c r="AM198" s="11">
        <v>6689.367776</v>
      </c>
      <c r="AN198" s="11">
        <v>25</v>
      </c>
      <c r="AO198" s="11">
        <v>67.974000000000004</v>
      </c>
      <c r="AP198" s="19">
        <v>7.6916567899999997</v>
      </c>
    </row>
    <row r="199" spans="2:42">
      <c r="B199" t="s">
        <v>77</v>
      </c>
      <c r="C199" t="s">
        <v>78</v>
      </c>
      <c r="D199" t="s">
        <v>79</v>
      </c>
      <c r="E199" t="s">
        <v>35</v>
      </c>
      <c r="F199" t="s">
        <v>36</v>
      </c>
      <c r="G199" t="s">
        <v>37</v>
      </c>
      <c r="H199" t="s">
        <v>38</v>
      </c>
      <c r="I199" t="s">
        <v>39</v>
      </c>
      <c r="J199" t="s">
        <v>40</v>
      </c>
      <c r="K199">
        <v>2012</v>
      </c>
      <c r="L199">
        <v>0.24672075289623299</v>
      </c>
      <c r="M199" s="7">
        <v>14.82634792</v>
      </c>
      <c r="N199" s="7">
        <f t="shared" si="27"/>
        <v>3.6393398782373789E-4</v>
      </c>
      <c r="O199" s="8">
        <v>2.6347446589999999</v>
      </c>
      <c r="P199" s="8">
        <f t="shared" si="28"/>
        <v>6.4673588925678226E-5</v>
      </c>
      <c r="Q199" s="8">
        <v>0.58399396199999998</v>
      </c>
      <c r="R199" s="8">
        <f t="shared" si="29"/>
        <v>1.433496991993187E-5</v>
      </c>
      <c r="S199" s="8">
        <v>0.12937644500000001</v>
      </c>
      <c r="T199" s="8">
        <f t="shared" si="30"/>
        <v>3.1757305179513484E-6</v>
      </c>
      <c r="U199" s="8">
        <v>0.12901017000000001</v>
      </c>
      <c r="V199" s="8">
        <f t="shared" si="31"/>
        <v>3.166739772414457E-6</v>
      </c>
      <c r="W199" s="8">
        <v>0.14037970599999999</v>
      </c>
      <c r="X199" s="8">
        <f t="shared" si="32"/>
        <v>7.7732172480600298E-11</v>
      </c>
      <c r="Y199" s="8">
        <v>3.8016115000000003E-2</v>
      </c>
      <c r="Z199" s="8">
        <f t="shared" si="33"/>
        <v>9.3316010174377595E-7</v>
      </c>
      <c r="AA199" s="8">
        <v>2.7589281E-2</v>
      </c>
      <c r="AB199" s="8">
        <f t="shared" si="34"/>
        <v>6.7721849707676916E-7</v>
      </c>
      <c r="AC199" s="8">
        <v>4.232470878</v>
      </c>
      <c r="AD199" s="18">
        <f t="shared" si="35"/>
        <v>1.038920719579591E-4</v>
      </c>
      <c r="AE199" s="9">
        <v>98.1</v>
      </c>
      <c r="AF199" s="10">
        <v>100</v>
      </c>
      <c r="AG199" s="10">
        <v>98.1</v>
      </c>
      <c r="AH199" s="10">
        <v>98.1</v>
      </c>
      <c r="AI199" s="10">
        <v>99.5</v>
      </c>
      <c r="AJ199" s="10">
        <v>96.7</v>
      </c>
      <c r="AK199" s="11">
        <v>40739.11318</v>
      </c>
      <c r="AL199" s="11">
        <v>7.5194971900000001</v>
      </c>
      <c r="AM199" s="11">
        <v>15690.146839999999</v>
      </c>
      <c r="AN199" s="11">
        <v>38.700000000000003</v>
      </c>
      <c r="AO199" s="11">
        <v>84.840999999999994</v>
      </c>
      <c r="AP199" s="19">
        <v>1.91512248</v>
      </c>
    </row>
    <row r="200" spans="2:42">
      <c r="B200" t="s">
        <v>80</v>
      </c>
      <c r="C200" t="s">
        <v>81</v>
      </c>
      <c r="D200" t="s">
        <v>82</v>
      </c>
      <c r="E200" t="s">
        <v>35</v>
      </c>
      <c r="F200" t="s">
        <v>36</v>
      </c>
      <c r="G200" t="s">
        <v>37</v>
      </c>
      <c r="H200" t="s">
        <v>38</v>
      </c>
      <c r="I200" t="s">
        <v>39</v>
      </c>
      <c r="J200" t="s">
        <v>40</v>
      </c>
      <c r="K200">
        <v>2012</v>
      </c>
      <c r="L200">
        <v>1.0057908736291199</v>
      </c>
      <c r="M200" s="7">
        <v>0.160827994</v>
      </c>
      <c r="N200" s="7">
        <f t="shared" si="27"/>
        <v>4.2692758842671569E-6</v>
      </c>
      <c r="O200" s="8">
        <v>48.070645220000003</v>
      </c>
      <c r="P200" s="8">
        <f t="shared" si="28"/>
        <v>1.2760642054573429E-3</v>
      </c>
      <c r="Q200" s="8">
        <v>2.7332606180000001</v>
      </c>
      <c r="R200" s="8">
        <f t="shared" si="29"/>
        <v>7.2556047934320102E-5</v>
      </c>
      <c r="S200" s="8">
        <v>3.2739089269999999</v>
      </c>
      <c r="T200" s="8">
        <f t="shared" si="30"/>
        <v>8.6907882649634141E-5</v>
      </c>
      <c r="U200" s="8">
        <v>0.108576834</v>
      </c>
      <c r="V200" s="8">
        <f t="shared" si="31"/>
        <v>2.8822373982123927E-6</v>
      </c>
      <c r="W200" s="8">
        <v>0.15179438200000001</v>
      </c>
      <c r="X200" s="8">
        <f t="shared" si="32"/>
        <v>7.6510726216737381E-11</v>
      </c>
      <c r="Y200" s="8">
        <v>6.3933104000000004E-2</v>
      </c>
      <c r="Z200" s="8">
        <f t="shared" si="33"/>
        <v>1.6971427195289406E-6</v>
      </c>
      <c r="AA200" s="8">
        <v>0.181208864</v>
      </c>
      <c r="AB200" s="8">
        <f t="shared" si="34"/>
        <v>4.8102983432762767E-6</v>
      </c>
      <c r="AC200" s="8">
        <v>21.564014239999999</v>
      </c>
      <c r="AD200" s="18">
        <f t="shared" si="35"/>
        <v>5.7242973485589559E-4</v>
      </c>
      <c r="AE200" s="9">
        <v>90.5</v>
      </c>
      <c r="AF200" s="10">
        <v>87.7</v>
      </c>
      <c r="AG200" s="10">
        <v>63.5</v>
      </c>
      <c r="AH200" s="10">
        <v>83.4</v>
      </c>
      <c r="AI200" s="10">
        <v>89.7</v>
      </c>
      <c r="AJ200" s="10">
        <v>89.7</v>
      </c>
      <c r="AK200" s="11">
        <v>37671.023930000003</v>
      </c>
      <c r="AL200" s="11">
        <v>52.679081799999999</v>
      </c>
      <c r="AM200" s="11">
        <v>7469.1971579999999</v>
      </c>
      <c r="AN200" s="11">
        <v>12.3</v>
      </c>
      <c r="AO200" s="11">
        <v>78.878</v>
      </c>
      <c r="AP200" s="19">
        <v>1.2279007200000001</v>
      </c>
    </row>
    <row r="201" spans="2:42">
      <c r="B201" t="s">
        <v>83</v>
      </c>
      <c r="C201" t="s">
        <v>84</v>
      </c>
      <c r="D201" t="s">
        <v>85</v>
      </c>
      <c r="E201" t="s">
        <v>35</v>
      </c>
      <c r="F201" t="s">
        <v>36</v>
      </c>
      <c r="G201" t="s">
        <v>37</v>
      </c>
      <c r="H201" t="s">
        <v>38</v>
      </c>
      <c r="I201" t="s">
        <v>39</v>
      </c>
      <c r="J201" t="s">
        <v>40</v>
      </c>
      <c r="K201">
        <v>2012</v>
      </c>
      <c r="L201">
        <v>0.32504107563680501</v>
      </c>
      <c r="M201" s="7">
        <v>20.554498939999998</v>
      </c>
      <c r="N201" s="7">
        <f t="shared" si="27"/>
        <v>2.0431943931319492E-3</v>
      </c>
      <c r="O201" s="8">
        <v>2.653328508</v>
      </c>
      <c r="P201" s="8">
        <f t="shared" si="28"/>
        <v>2.6375081905464153E-4</v>
      </c>
      <c r="Q201" s="8">
        <v>0.117315633</v>
      </c>
      <c r="R201" s="8">
        <f t="shared" si="29"/>
        <v>1.166161453373407E-5</v>
      </c>
      <c r="S201" s="8">
        <v>0.119862307</v>
      </c>
      <c r="T201" s="8">
        <f t="shared" si="30"/>
        <v>1.1914763494120983E-5</v>
      </c>
      <c r="U201" s="8">
        <v>5.1703999999999997E-4</v>
      </c>
      <c r="V201" s="8">
        <f t="shared" si="31"/>
        <v>5.1395717896538673E-8</v>
      </c>
      <c r="W201" s="8">
        <v>7.4778699999999997E-4</v>
      </c>
      <c r="X201" s="8">
        <f t="shared" si="32"/>
        <v>5.1089273907252546E-12</v>
      </c>
      <c r="Y201" s="8">
        <v>8.0409560000000001E-3</v>
      </c>
      <c r="Z201" s="8">
        <f t="shared" si="33"/>
        <v>7.9930122658687918E-7</v>
      </c>
      <c r="AA201" s="8">
        <v>1.4654756E-2</v>
      </c>
      <c r="AB201" s="8">
        <f t="shared" si="34"/>
        <v>1.4567377866675837E-6</v>
      </c>
      <c r="AC201" s="8">
        <v>1.4784670559999999</v>
      </c>
      <c r="AD201" s="18">
        <f t="shared" si="35"/>
        <v>1.469651781864112E-4</v>
      </c>
      <c r="AE201" s="9">
        <v>68.7</v>
      </c>
      <c r="AF201" s="10">
        <v>70.099999999999994</v>
      </c>
      <c r="AG201" s="10">
        <v>24.2</v>
      </c>
      <c r="AH201" s="10">
        <v>72</v>
      </c>
      <c r="AI201" s="10">
        <v>55.4</v>
      </c>
      <c r="AJ201" s="10">
        <v>50.2</v>
      </c>
      <c r="AK201" s="11">
        <v>10059.98206</v>
      </c>
      <c r="AL201" s="11">
        <v>35.041013100000001</v>
      </c>
      <c r="AM201" s="11">
        <v>2329.92587</v>
      </c>
      <c r="AN201" s="11">
        <v>28.7</v>
      </c>
      <c r="AO201" s="11">
        <v>56.302999999999997</v>
      </c>
      <c r="AP201" s="19">
        <v>5.73087327</v>
      </c>
    </row>
    <row r="202" spans="2:42">
      <c r="B202" t="s">
        <v>86</v>
      </c>
      <c r="C202" t="s">
        <v>87</v>
      </c>
      <c r="D202" t="s">
        <v>88</v>
      </c>
      <c r="E202" t="s">
        <v>35</v>
      </c>
      <c r="F202" t="s">
        <v>36</v>
      </c>
      <c r="G202" t="s">
        <v>37</v>
      </c>
      <c r="H202" t="s">
        <v>38</v>
      </c>
      <c r="I202" t="s">
        <v>39</v>
      </c>
      <c r="J202" t="s">
        <v>40</v>
      </c>
      <c r="K202">
        <v>2012</v>
      </c>
      <c r="L202">
        <v>0.57337786989447503</v>
      </c>
      <c r="M202" s="7">
        <v>14.599698739999999</v>
      </c>
      <c r="N202" s="7">
        <f t="shared" si="27"/>
        <v>3.3009040723648217E-4</v>
      </c>
      <c r="O202" s="8">
        <v>39.008694429999998</v>
      </c>
      <c r="P202" s="8">
        <f t="shared" si="28"/>
        <v>8.8196311851858084E-4</v>
      </c>
      <c r="Q202" s="8">
        <v>3.5962906779999999</v>
      </c>
      <c r="R202" s="8">
        <f t="shared" si="29"/>
        <v>8.130996917007513E-5</v>
      </c>
      <c r="S202" s="8">
        <v>12.61933923</v>
      </c>
      <c r="T202" s="8">
        <f t="shared" si="30"/>
        <v>2.8531566984141862E-4</v>
      </c>
      <c r="U202" s="8">
        <v>0.20136659100000001</v>
      </c>
      <c r="V202" s="8">
        <f t="shared" si="31"/>
        <v>4.5527775066276575E-6</v>
      </c>
      <c r="W202" s="8">
        <v>0.44526746900000003</v>
      </c>
      <c r="X202" s="8">
        <f t="shared" si="32"/>
        <v>1.029355610675991E-10</v>
      </c>
      <c r="Y202" s="8">
        <v>0.22542722500000001</v>
      </c>
      <c r="Z202" s="8">
        <f t="shared" si="33"/>
        <v>5.0967739696278216E-6</v>
      </c>
      <c r="AA202" s="8">
        <v>0.31632086100000001</v>
      </c>
      <c r="AB202" s="8">
        <f t="shared" si="34"/>
        <v>7.1518244098292052E-6</v>
      </c>
      <c r="AC202" s="8">
        <v>17.261898739999999</v>
      </c>
      <c r="AD202" s="18">
        <f t="shared" si="35"/>
        <v>3.9028114800412103E-4</v>
      </c>
      <c r="AE202" s="9">
        <v>94.3</v>
      </c>
      <c r="AF202" s="10">
        <v>91.9</v>
      </c>
      <c r="AG202" s="10">
        <v>71.099999999999994</v>
      </c>
      <c r="AH202" s="10">
        <v>91.9</v>
      </c>
      <c r="AI202" s="10">
        <v>92</v>
      </c>
      <c r="AJ202" s="10">
        <v>93.4</v>
      </c>
      <c r="AK202" s="11">
        <v>44229.394189999999</v>
      </c>
      <c r="AL202" s="11">
        <v>47.810868200000002</v>
      </c>
      <c r="AM202" s="11">
        <v>7251.5266650000003</v>
      </c>
      <c r="AN202" s="11">
        <v>13.6</v>
      </c>
      <c r="AO202" s="11">
        <v>77.17</v>
      </c>
      <c r="AP202" s="19">
        <v>1.8189263499999999</v>
      </c>
    </row>
    <row r="203" spans="2:42">
      <c r="B203" t="s">
        <v>89</v>
      </c>
      <c r="C203" t="s">
        <v>90</v>
      </c>
      <c r="D203" t="s">
        <v>91</v>
      </c>
      <c r="E203" t="s">
        <v>35</v>
      </c>
      <c r="F203" t="s">
        <v>36</v>
      </c>
      <c r="G203" t="s">
        <v>37</v>
      </c>
      <c r="H203" t="s">
        <v>38</v>
      </c>
      <c r="I203" t="s">
        <v>39</v>
      </c>
      <c r="J203" t="s">
        <v>40</v>
      </c>
      <c r="K203">
        <v>2012</v>
      </c>
      <c r="L203">
        <v>1.11051539167963</v>
      </c>
      <c r="M203" s="7">
        <v>0.48855752499999999</v>
      </c>
      <c r="N203" s="7">
        <f t="shared" si="27"/>
        <v>1.9873816773561922E-5</v>
      </c>
      <c r="O203" s="8">
        <v>4.8397796350000002</v>
      </c>
      <c r="P203" s="8">
        <f t="shared" si="28"/>
        <v>1.9687526804628873E-4</v>
      </c>
      <c r="Q203" s="8">
        <v>0.35361989399999999</v>
      </c>
      <c r="R203" s="8">
        <f t="shared" si="29"/>
        <v>1.4384748205121575E-5</v>
      </c>
      <c r="S203" s="8">
        <v>3.2595028180000001</v>
      </c>
      <c r="T203" s="8">
        <f t="shared" si="30"/>
        <v>1.3259188214906884E-4</v>
      </c>
      <c r="U203" s="8">
        <v>1.3480229999999999E-2</v>
      </c>
      <c r="V203" s="8">
        <f t="shared" si="31"/>
        <v>5.4835634981872941E-7</v>
      </c>
      <c r="W203" s="8">
        <v>2.2392767000000001E-2</v>
      </c>
      <c r="X203" s="8">
        <f t="shared" si="32"/>
        <v>2.2306346878838177E-11</v>
      </c>
      <c r="Y203" s="8">
        <v>3.1502240000000001E-3</v>
      </c>
      <c r="Z203" s="8">
        <f t="shared" si="33"/>
        <v>1.2814657715419966E-7</v>
      </c>
      <c r="AA203" s="8">
        <v>6.5180504E-2</v>
      </c>
      <c r="AB203" s="8">
        <f t="shared" si="34"/>
        <v>2.6514490667284679E-6</v>
      </c>
      <c r="AC203" s="8">
        <v>4.6564237110000004</v>
      </c>
      <c r="AD203" s="18">
        <f t="shared" si="35"/>
        <v>1.8941661302317116E-4</v>
      </c>
      <c r="AE203" s="9">
        <v>52.6</v>
      </c>
      <c r="AF203" s="10">
        <v>62.6</v>
      </c>
      <c r="AG203" s="10">
        <v>39.299999999999997</v>
      </c>
      <c r="AH203" s="10">
        <v>68.2</v>
      </c>
      <c r="AI203" s="10">
        <v>63.8</v>
      </c>
      <c r="AJ203" s="10">
        <v>69.5</v>
      </c>
      <c r="AK203" s="11">
        <v>24582.974200000001</v>
      </c>
      <c r="AL203" s="11">
        <v>56.501163699999999</v>
      </c>
      <c r="AM203" s="11">
        <v>5534.8971590000001</v>
      </c>
      <c r="AN203" s="11">
        <v>14.2</v>
      </c>
      <c r="AO203" s="11">
        <v>77.004000000000005</v>
      </c>
      <c r="AP203" s="19">
        <v>0.69589783999999999</v>
      </c>
    </row>
    <row r="204" spans="2:42">
      <c r="B204" t="s">
        <v>92</v>
      </c>
      <c r="C204" t="s">
        <v>93</v>
      </c>
      <c r="D204" t="s">
        <v>94</v>
      </c>
      <c r="E204" t="s">
        <v>35</v>
      </c>
      <c r="F204" t="s">
        <v>36</v>
      </c>
      <c r="G204" t="s">
        <v>37</v>
      </c>
      <c r="H204" t="s">
        <v>38</v>
      </c>
      <c r="I204" t="s">
        <v>39</v>
      </c>
      <c r="J204" t="s">
        <v>40</v>
      </c>
      <c r="K204">
        <v>2012</v>
      </c>
      <c r="L204">
        <v>0.68974567061209802</v>
      </c>
      <c r="M204" s="7">
        <v>20.554498939999998</v>
      </c>
      <c r="N204" s="7">
        <f t="shared" si="27"/>
        <v>8.8576702257095875E-4</v>
      </c>
      <c r="O204" s="8">
        <v>3.1800156359999998</v>
      </c>
      <c r="P204" s="8">
        <f t="shared" si="28"/>
        <v>1.3703827030039068E-4</v>
      </c>
      <c r="Q204" s="8">
        <v>0.79399379400000003</v>
      </c>
      <c r="R204" s="8">
        <f t="shared" si="29"/>
        <v>3.421603809969591E-5</v>
      </c>
      <c r="S204" s="8">
        <v>2.2001723169999998</v>
      </c>
      <c r="T204" s="8">
        <f t="shared" si="30"/>
        <v>9.4813310120618179E-5</v>
      </c>
      <c r="U204" s="8">
        <v>7.3761290000000004E-3</v>
      </c>
      <c r="V204" s="8">
        <f t="shared" si="31"/>
        <v>3.1786383319297316E-7</v>
      </c>
      <c r="W204" s="8">
        <v>2.7587118000000001E-2</v>
      </c>
      <c r="X204" s="8">
        <f t="shared" si="32"/>
        <v>1.3697891733201827E-11</v>
      </c>
      <c r="Y204" s="8">
        <v>4.9158379999999996E-3</v>
      </c>
      <c r="Z204" s="8">
        <f t="shared" si="33"/>
        <v>2.1184107680813048E-7</v>
      </c>
      <c r="AA204" s="8">
        <v>2.1524056E-2</v>
      </c>
      <c r="AB204" s="8">
        <f t="shared" si="34"/>
        <v>9.2754871098650973E-7</v>
      </c>
      <c r="AC204" s="8">
        <v>3.7389057550000002</v>
      </c>
      <c r="AD204" s="18">
        <f t="shared" si="35"/>
        <v>1.6112284847940802E-4</v>
      </c>
      <c r="AE204" s="9">
        <v>65.400000000000006</v>
      </c>
      <c r="AF204" s="10">
        <v>69.7</v>
      </c>
      <c r="AG204" s="10">
        <v>68.7</v>
      </c>
      <c r="AH204" s="10">
        <v>78.7</v>
      </c>
      <c r="AI204" s="10">
        <v>68.099999999999994</v>
      </c>
      <c r="AJ204" s="10">
        <v>70.900000000000006</v>
      </c>
      <c r="AK204" s="11">
        <v>23205.310669999999</v>
      </c>
      <c r="AL204" s="11">
        <v>58.963879400000003</v>
      </c>
      <c r="AM204" s="11">
        <v>3923.042324</v>
      </c>
      <c r="AN204" s="11">
        <v>16.5</v>
      </c>
      <c r="AO204" s="11">
        <v>69.677999999999997</v>
      </c>
      <c r="AP204" s="19">
        <v>8.3054985099999996</v>
      </c>
    </row>
    <row r="205" spans="2:42">
      <c r="B205" t="s">
        <v>95</v>
      </c>
      <c r="C205" t="s">
        <v>96</v>
      </c>
      <c r="D205" t="s">
        <v>97</v>
      </c>
      <c r="E205" t="s">
        <v>35</v>
      </c>
      <c r="F205" t="s">
        <v>36</v>
      </c>
      <c r="G205" t="s">
        <v>37</v>
      </c>
      <c r="H205" t="s">
        <v>38</v>
      </c>
      <c r="I205" t="s">
        <v>39</v>
      </c>
      <c r="J205" t="s">
        <v>40</v>
      </c>
      <c r="K205">
        <v>2012</v>
      </c>
      <c r="L205">
        <v>0.57857248610578105</v>
      </c>
      <c r="M205" s="7">
        <v>63.196837940000002</v>
      </c>
      <c r="N205" s="7">
        <f t="shared" si="27"/>
        <v>1.5045272949847036E-3</v>
      </c>
      <c r="O205" s="8">
        <v>0.30941448300000002</v>
      </c>
      <c r="P205" s="8">
        <f t="shared" si="28"/>
        <v>7.3662314494129353E-6</v>
      </c>
      <c r="Q205" s="8">
        <v>1.4423070000000001E-3</v>
      </c>
      <c r="R205" s="8">
        <f t="shared" si="29"/>
        <v>3.4337006723464922E-8</v>
      </c>
      <c r="S205" s="16">
        <v>4.3019999999999996E-6</v>
      </c>
      <c r="T205" s="8">
        <f t="shared" si="30"/>
        <v>1.0241772585472169E-10</v>
      </c>
      <c r="U205" s="8">
        <v>1.230739E-3</v>
      </c>
      <c r="V205" s="8">
        <f t="shared" si="31"/>
        <v>2.9300206764461721E-8</v>
      </c>
      <c r="W205" s="14">
        <v>2.3920199999999998E-5</v>
      </c>
      <c r="X205" s="8">
        <f t="shared" si="32"/>
        <v>6.9755010318207874E-13</v>
      </c>
      <c r="Y205" s="8">
        <v>4.0600560000000003E-3</v>
      </c>
      <c r="Z205" s="8">
        <f t="shared" si="33"/>
        <v>9.6657764380013466E-8</v>
      </c>
      <c r="AA205" s="8">
        <v>2.520745E-3</v>
      </c>
      <c r="AB205" s="8">
        <f t="shared" si="34"/>
        <v>6.0011383161241384E-8</v>
      </c>
      <c r="AC205" s="8">
        <v>0.23028313</v>
      </c>
      <c r="AD205" s="18">
        <f t="shared" si="35"/>
        <v>5.4823511104851781E-6</v>
      </c>
      <c r="AE205" s="9">
        <v>94.8</v>
      </c>
      <c r="AF205" s="10">
        <v>90</v>
      </c>
      <c r="AG205" s="10">
        <v>92.9</v>
      </c>
      <c r="AH205" s="10">
        <v>82.5</v>
      </c>
      <c r="AI205" s="10">
        <v>92.5</v>
      </c>
      <c r="AJ205" s="10">
        <v>94.8</v>
      </c>
      <c r="AK205" s="11">
        <v>42004.447610000003</v>
      </c>
      <c r="AL205" s="11">
        <v>18.675311700000002</v>
      </c>
      <c r="AM205" s="11">
        <v>53202.833659999997</v>
      </c>
      <c r="AN205" s="11">
        <v>77.7</v>
      </c>
      <c r="AO205" s="11">
        <v>93.6</v>
      </c>
      <c r="AP205" s="19">
        <v>6.9427770999999998</v>
      </c>
    </row>
    <row r="206" spans="2:42">
      <c r="B206" t="s">
        <v>98</v>
      </c>
      <c r="C206" t="s">
        <v>99</v>
      </c>
      <c r="D206" t="s">
        <v>100</v>
      </c>
      <c r="E206" t="s">
        <v>35</v>
      </c>
      <c r="F206" t="s">
        <v>36</v>
      </c>
      <c r="G206" t="s">
        <v>37</v>
      </c>
      <c r="H206" t="s">
        <v>38</v>
      </c>
      <c r="I206" t="s">
        <v>39</v>
      </c>
      <c r="J206" t="s">
        <v>40</v>
      </c>
      <c r="K206">
        <v>2012</v>
      </c>
      <c r="L206">
        <v>0.241267559721901</v>
      </c>
      <c r="M206" s="7">
        <v>3056.212704</v>
      </c>
      <c r="N206" s="7">
        <f t="shared" si="27"/>
        <v>0.32068410048315471</v>
      </c>
      <c r="O206" s="8">
        <v>118.92095519999999</v>
      </c>
      <c r="P206" s="8">
        <f t="shared" si="28"/>
        <v>1.2478208567419638E-2</v>
      </c>
      <c r="Q206" s="8">
        <v>13.127528760000001</v>
      </c>
      <c r="R206" s="8">
        <f t="shared" si="29"/>
        <v>1.3774531289846193E-3</v>
      </c>
      <c r="S206" s="8">
        <v>145.47194300000001</v>
      </c>
      <c r="T206" s="8">
        <f t="shared" si="30"/>
        <v>1.5264166373444851E-2</v>
      </c>
      <c r="U206" s="8">
        <v>0.43985365500000001</v>
      </c>
      <c r="V206" s="8">
        <f t="shared" si="31"/>
        <v>4.6153225367229832E-5</v>
      </c>
      <c r="W206" s="8">
        <v>9.1305007999999993E-2</v>
      </c>
      <c r="X206" s="8">
        <f t="shared" si="32"/>
        <v>4.842793023507574E-9</v>
      </c>
      <c r="Y206" s="8">
        <v>6.2851296000000001E-2</v>
      </c>
      <c r="Z206" s="8">
        <f t="shared" si="33"/>
        <v>6.5948980892530514E-6</v>
      </c>
      <c r="AA206" s="8">
        <v>0.81125890899999997</v>
      </c>
      <c r="AB206" s="8">
        <f t="shared" si="34"/>
        <v>8.512425628985622E-5</v>
      </c>
      <c r="AC206" s="8">
        <v>39.575962789999998</v>
      </c>
      <c r="AD206" s="18">
        <f t="shared" si="35"/>
        <v>4.1526501121650836E-3</v>
      </c>
      <c r="AE206" s="9">
        <v>28.4</v>
      </c>
      <c r="AF206" s="10">
        <v>43.6</v>
      </c>
      <c r="AG206" s="10">
        <v>25.6</v>
      </c>
      <c r="AH206" s="10">
        <v>45.5</v>
      </c>
      <c r="AI206" s="10">
        <v>33.799999999999997</v>
      </c>
      <c r="AJ206" s="10">
        <v>52.6</v>
      </c>
      <c r="AK206" s="11">
        <v>9530.2907109999996</v>
      </c>
      <c r="AL206" s="11">
        <v>27.1320823</v>
      </c>
      <c r="AM206" s="11">
        <v>720.96186550000004</v>
      </c>
      <c r="AN206" s="11">
        <v>30.1</v>
      </c>
      <c r="AO206" s="11">
        <v>51.276000000000003</v>
      </c>
      <c r="AP206" s="19">
        <v>2.3097803200000002</v>
      </c>
    </row>
    <row r="207" spans="2:42">
      <c r="B207" t="s">
        <v>101</v>
      </c>
      <c r="C207" t="s">
        <v>102</v>
      </c>
      <c r="D207" t="s">
        <v>103</v>
      </c>
      <c r="E207" t="s">
        <v>35</v>
      </c>
      <c r="F207" t="s">
        <v>36</v>
      </c>
      <c r="G207" t="s">
        <v>37</v>
      </c>
      <c r="H207" t="s">
        <v>38</v>
      </c>
      <c r="I207" t="s">
        <v>39</v>
      </c>
      <c r="J207" t="s">
        <v>40</v>
      </c>
      <c r="K207">
        <v>2012</v>
      </c>
      <c r="L207">
        <v>0.71702246391253599</v>
      </c>
      <c r="M207" s="7">
        <v>63.724968830000002</v>
      </c>
      <c r="N207" s="7">
        <f t="shared" si="27"/>
        <v>1.363794773017203E-3</v>
      </c>
      <c r="O207" s="8">
        <v>15.72570765</v>
      </c>
      <c r="P207" s="8">
        <f t="shared" si="28"/>
        <v>3.3654999427744158E-4</v>
      </c>
      <c r="Q207" s="8">
        <v>0.19330246600000001</v>
      </c>
      <c r="R207" s="8">
        <f t="shared" si="29"/>
        <v>4.1369167781848817E-6</v>
      </c>
      <c r="S207" s="8">
        <v>1.1192977639999999</v>
      </c>
      <c r="T207" s="8">
        <f t="shared" si="30"/>
        <v>2.3954385039642593E-5</v>
      </c>
      <c r="U207" s="8">
        <v>8.6481130000000007E-3</v>
      </c>
      <c r="V207" s="8">
        <f t="shared" si="31"/>
        <v>1.850805347167107E-7</v>
      </c>
      <c r="W207" s="8">
        <v>1.5948606000000001E-2</v>
      </c>
      <c r="X207" s="8">
        <f t="shared" si="32"/>
        <v>3.9609570701751412E-12</v>
      </c>
      <c r="Y207" s="8"/>
      <c r="Z207" s="8">
        <f t="shared" si="33"/>
        <v>0</v>
      </c>
      <c r="AA207" s="8">
        <v>1.5513663E-2</v>
      </c>
      <c r="AB207" s="8">
        <f t="shared" si="34"/>
        <v>3.3201197110338987E-7</v>
      </c>
      <c r="AC207" s="8">
        <v>0.70146464900000005</v>
      </c>
      <c r="AD207" s="18">
        <f t="shared" si="35"/>
        <v>1.5012228947724179E-5</v>
      </c>
      <c r="AE207" s="9">
        <v>90</v>
      </c>
      <c r="AF207" s="10">
        <v>92.4</v>
      </c>
      <c r="AG207" s="10">
        <v>77.7</v>
      </c>
      <c r="AH207" s="10">
        <v>94.3</v>
      </c>
      <c r="AI207" s="10">
        <v>94.4</v>
      </c>
      <c r="AJ207" s="10">
        <v>92</v>
      </c>
      <c r="AK207" s="11">
        <v>46726.215770000003</v>
      </c>
      <c r="AL207" s="11">
        <v>65.800551600000006</v>
      </c>
      <c r="AM207" s="11">
        <v>5601.8730599999999</v>
      </c>
      <c r="AN207" s="11">
        <v>6.9</v>
      </c>
      <c r="AO207" s="11">
        <v>61.942</v>
      </c>
      <c r="AP207" s="19">
        <v>25.559985099999999</v>
      </c>
    </row>
    <row r="208" spans="2:42">
      <c r="B208" t="s">
        <v>104</v>
      </c>
      <c r="C208" t="s">
        <v>105</v>
      </c>
      <c r="D208" t="s">
        <v>106</v>
      </c>
      <c r="E208" t="s">
        <v>35</v>
      </c>
      <c r="F208" t="s">
        <v>36</v>
      </c>
      <c r="G208" t="s">
        <v>37</v>
      </c>
      <c r="H208" t="s">
        <v>38</v>
      </c>
      <c r="I208" t="s">
        <v>39</v>
      </c>
      <c r="J208" t="s">
        <v>40</v>
      </c>
      <c r="K208">
        <v>2012</v>
      </c>
      <c r="L208">
        <v>0.57877469413413896</v>
      </c>
      <c r="M208" s="7">
        <v>4.8291849859999996</v>
      </c>
      <c r="N208" s="7">
        <f t="shared" si="27"/>
        <v>1.4866467532446574E-4</v>
      </c>
      <c r="O208" s="8">
        <v>1.5647791470000001</v>
      </c>
      <c r="P208" s="8">
        <f t="shared" si="28"/>
        <v>4.8171147826733815E-5</v>
      </c>
      <c r="Q208" s="8">
        <v>1.8020154E-2</v>
      </c>
      <c r="R208" s="8">
        <f t="shared" si="29"/>
        <v>5.5474378212333664E-7</v>
      </c>
      <c r="S208" s="8">
        <v>0.18955477500000001</v>
      </c>
      <c r="T208" s="8">
        <f t="shared" si="30"/>
        <v>5.8353737045220649E-6</v>
      </c>
      <c r="U208" s="8">
        <v>1.2338760000000001E-3</v>
      </c>
      <c r="V208" s="8">
        <f t="shared" si="31"/>
        <v>3.7984416720923371E-8</v>
      </c>
      <c r="W208" s="8">
        <v>2.5764202E-2</v>
      </c>
      <c r="X208" s="8">
        <f t="shared" si="32"/>
        <v>1.1693362328376296E-12</v>
      </c>
      <c r="Y208" s="8">
        <v>1.7925599999999999E-3</v>
      </c>
      <c r="Z208" s="8">
        <f t="shared" si="33"/>
        <v>5.518329721727175E-8</v>
      </c>
      <c r="AA208" s="8">
        <v>5.2362669000000001E-2</v>
      </c>
      <c r="AB208" s="8">
        <f t="shared" si="34"/>
        <v>1.6119654162296502E-6</v>
      </c>
      <c r="AC208" s="8">
        <v>5.4493050739999997</v>
      </c>
      <c r="AD208" s="18">
        <f t="shared" si="35"/>
        <v>1.6775484308816945E-4</v>
      </c>
      <c r="AE208" s="9">
        <v>77.7</v>
      </c>
      <c r="AF208" s="10">
        <v>87.2</v>
      </c>
      <c r="AG208" s="10">
        <v>16.100000000000001</v>
      </c>
      <c r="AH208" s="10">
        <v>85.8</v>
      </c>
      <c r="AI208" s="10">
        <v>77.900000000000006</v>
      </c>
      <c r="AJ208" s="10">
        <v>67.599999999999994</v>
      </c>
      <c r="AK208" s="11">
        <v>32483.742190000001</v>
      </c>
      <c r="AL208" s="11">
        <v>24.3160813</v>
      </c>
      <c r="AM208" s="11">
        <v>7184.3751979999997</v>
      </c>
      <c r="AN208" s="11">
        <v>2.9</v>
      </c>
      <c r="AO208" s="11">
        <v>91.96</v>
      </c>
      <c r="AP208" s="19">
        <v>3.42096753</v>
      </c>
    </row>
    <row r="209" spans="2:42">
      <c r="B209" t="s">
        <v>107</v>
      </c>
      <c r="C209" t="s">
        <v>108</v>
      </c>
      <c r="D209" t="s">
        <v>109</v>
      </c>
      <c r="E209" t="s">
        <v>35</v>
      </c>
      <c r="F209" t="s">
        <v>36</v>
      </c>
      <c r="G209" t="s">
        <v>37</v>
      </c>
      <c r="H209" t="s">
        <v>38</v>
      </c>
      <c r="I209" t="s">
        <v>39</v>
      </c>
      <c r="J209" t="s">
        <v>40</v>
      </c>
      <c r="K209">
        <v>2012</v>
      </c>
      <c r="L209">
        <v>0.85953905509804196</v>
      </c>
      <c r="M209" s="7">
        <v>89.87277512</v>
      </c>
      <c r="N209" s="7">
        <f t="shared" si="27"/>
        <v>2.4771236705194823E-3</v>
      </c>
      <c r="O209" s="8">
        <v>22.133058510000001</v>
      </c>
      <c r="P209" s="8">
        <f t="shared" si="28"/>
        <v>6.1004373196341631E-4</v>
      </c>
      <c r="Q209" s="8">
        <v>2.5136780430000001</v>
      </c>
      <c r="R209" s="8">
        <f t="shared" si="29"/>
        <v>6.9283399472936955E-5</v>
      </c>
      <c r="S209" s="8">
        <v>4.6488163350000002</v>
      </c>
      <c r="T209" s="8">
        <f t="shared" si="30"/>
        <v>1.2813327470916677E-4</v>
      </c>
      <c r="U209" s="8">
        <v>6.5850307999999996E-2</v>
      </c>
      <c r="V209" s="8">
        <f t="shared" si="31"/>
        <v>1.8150030021883497E-6</v>
      </c>
      <c r="W209" s="8">
        <v>0.23431958</v>
      </c>
      <c r="X209" s="8">
        <f t="shared" si="32"/>
        <v>5.0026127409346709E-11</v>
      </c>
      <c r="Y209" s="8">
        <v>4.5655695000000003E-2</v>
      </c>
      <c r="Z209" s="8">
        <f t="shared" si="33"/>
        <v>1.2583877890441399E-6</v>
      </c>
      <c r="AA209" s="8">
        <v>0.39081334099999998</v>
      </c>
      <c r="AB209" s="8">
        <f t="shared" si="34"/>
        <v>1.0771815785740278E-5</v>
      </c>
      <c r="AC209" s="8">
        <v>18.138678540000001</v>
      </c>
      <c r="AD209" s="18">
        <f t="shared" si="35"/>
        <v>4.9994839820383823E-4</v>
      </c>
      <c r="AE209" s="9">
        <v>62.1</v>
      </c>
      <c r="AF209" s="10">
        <v>66.400000000000006</v>
      </c>
      <c r="AG209" s="10">
        <v>63</v>
      </c>
      <c r="AH209" s="10">
        <v>74.400000000000006</v>
      </c>
      <c r="AI209" s="10">
        <v>64.3</v>
      </c>
      <c r="AJ209" s="10">
        <v>74.599999999999994</v>
      </c>
      <c r="AK209" s="11">
        <v>36281.101419999999</v>
      </c>
      <c r="AL209" s="11">
        <v>46.425986899999998</v>
      </c>
      <c r="AM209" s="11">
        <v>5339.3145350000004</v>
      </c>
      <c r="AN209" s="11">
        <v>14.4</v>
      </c>
      <c r="AO209" s="11">
        <v>68.683999999999997</v>
      </c>
      <c r="AP209" s="19">
        <v>1.6635899999999999E-3</v>
      </c>
    </row>
    <row r="210" spans="2:42">
      <c r="B210" t="s">
        <v>110</v>
      </c>
      <c r="C210" t="s">
        <v>111</v>
      </c>
      <c r="D210" t="s">
        <v>112</v>
      </c>
      <c r="E210" t="s">
        <v>35</v>
      </c>
      <c r="F210" t="s">
        <v>36</v>
      </c>
      <c r="G210" t="s">
        <v>37</v>
      </c>
      <c r="H210" t="s">
        <v>38</v>
      </c>
      <c r="I210" t="s">
        <v>39</v>
      </c>
      <c r="J210" t="s">
        <v>40</v>
      </c>
      <c r="K210">
        <v>2012</v>
      </c>
      <c r="L210">
        <v>1.08413050966802</v>
      </c>
      <c r="M210" s="7">
        <v>1.392508493</v>
      </c>
      <c r="N210" s="7">
        <f t="shared" si="27"/>
        <v>3.7028916825089587E-5</v>
      </c>
      <c r="O210" s="8">
        <v>46.170468200000002</v>
      </c>
      <c r="P210" s="8">
        <f t="shared" si="28"/>
        <v>1.2277429081024957E-3</v>
      </c>
      <c r="Q210" s="8">
        <v>1.1665832389999999</v>
      </c>
      <c r="R210" s="8">
        <f t="shared" si="29"/>
        <v>3.1021221014897322E-5</v>
      </c>
      <c r="S210" s="8">
        <v>4.2762617650000001</v>
      </c>
      <c r="T210" s="8">
        <f t="shared" si="30"/>
        <v>1.1371229835543688E-4</v>
      </c>
      <c r="U210" s="8">
        <v>0.37452869799999999</v>
      </c>
      <c r="V210" s="8">
        <f t="shared" si="31"/>
        <v>9.9592871975762498E-6</v>
      </c>
      <c r="W210" s="8">
        <v>0.62706526600000001</v>
      </c>
      <c r="X210" s="8">
        <f t="shared" si="32"/>
        <v>2.6483258028949809E-10</v>
      </c>
      <c r="Y210" s="8">
        <v>0.31657121500000002</v>
      </c>
      <c r="Z210" s="8">
        <f t="shared" si="33"/>
        <v>8.4181096548992843E-6</v>
      </c>
      <c r="AA210" s="8">
        <v>0.72326936500000005</v>
      </c>
      <c r="AB210" s="8">
        <f t="shared" si="34"/>
        <v>1.9232831464475932E-5</v>
      </c>
      <c r="AC210" s="8">
        <v>9.1679485950000004</v>
      </c>
      <c r="AD210" s="18">
        <f t="shared" si="35"/>
        <v>2.437896843627739E-4</v>
      </c>
      <c r="AE210" s="9">
        <v>91.9</v>
      </c>
      <c r="AF210" s="10">
        <v>88.6</v>
      </c>
      <c r="AG210" s="10">
        <v>78.2</v>
      </c>
      <c r="AH210" s="10">
        <v>84.4</v>
      </c>
      <c r="AI210" s="10">
        <v>88.3</v>
      </c>
      <c r="AJ210" s="10">
        <v>84.5</v>
      </c>
      <c r="AK210" s="11">
        <v>37605.974260000003</v>
      </c>
      <c r="AL210" s="11">
        <v>13.456790099999999</v>
      </c>
      <c r="AM210" s="11">
        <v>8271.2628010000008</v>
      </c>
      <c r="AN210" s="11">
        <v>4.7</v>
      </c>
      <c r="AO210" s="11">
        <v>91.147999999999996</v>
      </c>
      <c r="AP210" s="19">
        <v>8.7202000000000009E-3</v>
      </c>
    </row>
    <row r="211" spans="2:42">
      <c r="B211" t="s">
        <v>113</v>
      </c>
      <c r="C211" t="s">
        <v>114</v>
      </c>
      <c r="D211" t="s">
        <v>115</v>
      </c>
      <c r="E211" t="s">
        <v>35</v>
      </c>
      <c r="F211" t="s">
        <v>36</v>
      </c>
      <c r="G211" t="s">
        <v>37</v>
      </c>
      <c r="H211" t="s">
        <v>38</v>
      </c>
      <c r="I211" t="s">
        <v>39</v>
      </c>
      <c r="J211" t="s">
        <v>40</v>
      </c>
      <c r="K211">
        <v>2012</v>
      </c>
      <c r="L211">
        <v>0.72699637336497602</v>
      </c>
      <c r="M211" s="7">
        <v>15.87866728</v>
      </c>
      <c r="N211" s="7">
        <f t="shared" si="27"/>
        <v>7.7479414792466111E-4</v>
      </c>
      <c r="O211" s="8">
        <v>1.154031265</v>
      </c>
      <c r="P211" s="8">
        <f t="shared" si="28"/>
        <v>5.6310561514838527E-5</v>
      </c>
      <c r="Q211" s="8">
        <v>0.27625526700000003</v>
      </c>
      <c r="R211" s="8">
        <f t="shared" si="29"/>
        <v>1.347978142186784E-5</v>
      </c>
      <c r="S211" s="8">
        <v>0.149264744</v>
      </c>
      <c r="T211" s="8">
        <f t="shared" si="30"/>
        <v>7.2833222148523207E-6</v>
      </c>
      <c r="U211" s="8">
        <v>1.3405093E-2</v>
      </c>
      <c r="V211" s="8">
        <f t="shared" si="31"/>
        <v>6.5409693557013927E-7</v>
      </c>
      <c r="W211" s="8">
        <v>9.0934199999999996E-3</v>
      </c>
      <c r="X211" s="8">
        <f t="shared" si="32"/>
        <v>3.1916436620189575E-11</v>
      </c>
      <c r="Y211" s="8">
        <v>1.5679999999999999E-3</v>
      </c>
      <c r="Z211" s="8">
        <f t="shared" si="33"/>
        <v>7.6510024583490646E-8</v>
      </c>
      <c r="AA211" s="8">
        <v>8.5660969999999999E-3</v>
      </c>
      <c r="AB211" s="8">
        <f t="shared" si="34"/>
        <v>4.1797977809602392E-7</v>
      </c>
      <c r="AC211" s="8">
        <v>0.79442878500000003</v>
      </c>
      <c r="AD211" s="18">
        <f t="shared" si="35"/>
        <v>3.8763881294759319E-5</v>
      </c>
      <c r="AE211" s="9">
        <v>64.5</v>
      </c>
      <c r="AF211" s="10">
        <v>74.900000000000006</v>
      </c>
      <c r="AG211" s="10">
        <v>61.1</v>
      </c>
      <c r="AH211" s="10">
        <v>79.599999999999994</v>
      </c>
      <c r="AI211" s="10">
        <v>71.8</v>
      </c>
      <c r="AJ211" s="10">
        <v>71.8</v>
      </c>
      <c r="AK211" s="11">
        <v>20494.046480000001</v>
      </c>
      <c r="AL211" s="11">
        <v>29.585228300000001</v>
      </c>
      <c r="AM211" s="11">
        <v>3587.9328660000001</v>
      </c>
      <c r="AN211" s="11">
        <v>40.4</v>
      </c>
      <c r="AO211" s="11">
        <v>67.897000000000006</v>
      </c>
      <c r="AP211" s="19">
        <v>3.9857389400000001</v>
      </c>
    </row>
    <row r="212" spans="2:42">
      <c r="B212" t="s">
        <v>116</v>
      </c>
      <c r="C212" t="s">
        <v>117</v>
      </c>
      <c r="D212" t="s">
        <v>118</v>
      </c>
      <c r="E212" t="s">
        <v>35</v>
      </c>
      <c r="F212" t="s">
        <v>36</v>
      </c>
      <c r="G212" t="s">
        <v>37</v>
      </c>
      <c r="H212" t="s">
        <v>38</v>
      </c>
      <c r="I212" t="s">
        <v>39</v>
      </c>
      <c r="J212" t="s">
        <v>40</v>
      </c>
      <c r="K212">
        <v>2012</v>
      </c>
      <c r="L212">
        <v>0.85416130403290003</v>
      </c>
      <c r="M212" s="7">
        <v>99.528086599999995</v>
      </c>
      <c r="N212" s="7">
        <f t="shared" si="27"/>
        <v>4.0513085438822604E-3</v>
      </c>
      <c r="O212" s="8">
        <v>2.4871217479999999</v>
      </c>
      <c r="P212" s="8">
        <f t="shared" si="28"/>
        <v>1.0123873503007524E-4</v>
      </c>
      <c r="Q212" s="8">
        <v>0.238689811</v>
      </c>
      <c r="R212" s="8">
        <f t="shared" si="29"/>
        <v>9.7159113942208749E-6</v>
      </c>
      <c r="S212" s="8">
        <v>0.24660105600000001</v>
      </c>
      <c r="T212" s="8">
        <f t="shared" si="30"/>
        <v>1.0037940035141676E-5</v>
      </c>
      <c r="U212" s="8">
        <v>4.9555229999999999E-3</v>
      </c>
      <c r="V212" s="8">
        <f t="shared" si="31"/>
        <v>2.0171544892640437E-7</v>
      </c>
      <c r="W212" s="8">
        <v>1.3143778E-2</v>
      </c>
      <c r="X212" s="8">
        <f t="shared" si="32"/>
        <v>8.21086338123763E-12</v>
      </c>
      <c r="Y212" s="8">
        <v>3.6064000000000001E-3</v>
      </c>
      <c r="Z212" s="8">
        <f t="shared" si="33"/>
        <v>1.4679915621583932E-7</v>
      </c>
      <c r="AA212" s="8">
        <v>1.7016574999999999E-2</v>
      </c>
      <c r="AB212" s="8">
        <f t="shared" si="34"/>
        <v>6.9266272506753155E-7</v>
      </c>
      <c r="AC212" s="8">
        <v>1.4873301969999999</v>
      </c>
      <c r="AD212" s="18">
        <f t="shared" si="35"/>
        <v>6.0542041352578206E-5</v>
      </c>
      <c r="AE212" s="9">
        <v>68.2</v>
      </c>
      <c r="AF212" s="10">
        <v>74.400000000000006</v>
      </c>
      <c r="AG212" s="10">
        <v>72.5</v>
      </c>
      <c r="AH212" s="10">
        <v>82.9</v>
      </c>
      <c r="AI212" s="10">
        <v>75.599999999999994</v>
      </c>
      <c r="AJ212" s="10">
        <v>75.099999999999994</v>
      </c>
      <c r="AK212" s="11">
        <v>24566.898700000002</v>
      </c>
      <c r="AL212" s="11">
        <v>45.348948499999999</v>
      </c>
      <c r="AM212" s="11">
        <v>3606.0551220000002</v>
      </c>
      <c r="AN212" s="11">
        <v>23.9</v>
      </c>
      <c r="AO212" s="11">
        <v>66.864000000000004</v>
      </c>
      <c r="AP212" s="19">
        <v>1.58556009</v>
      </c>
    </row>
    <row r="213" spans="2:42">
      <c r="B213" t="s">
        <v>119</v>
      </c>
      <c r="C213" t="s">
        <v>120</v>
      </c>
      <c r="D213" t="s">
        <v>121</v>
      </c>
      <c r="E213" t="s">
        <v>35</v>
      </c>
      <c r="F213" t="s">
        <v>36</v>
      </c>
      <c r="G213" t="s">
        <v>37</v>
      </c>
      <c r="H213" t="s">
        <v>38</v>
      </c>
      <c r="I213" t="s">
        <v>39</v>
      </c>
      <c r="J213" t="s">
        <v>40</v>
      </c>
      <c r="K213">
        <v>2012</v>
      </c>
      <c r="L213">
        <v>0.77543190718347899</v>
      </c>
      <c r="M213" s="7">
        <v>12.06039711</v>
      </c>
      <c r="N213" s="7">
        <f t="shared" si="27"/>
        <v>1.2480177019509047E-4</v>
      </c>
      <c r="O213" s="8">
        <v>0.468327406</v>
      </c>
      <c r="P213" s="8">
        <f t="shared" si="28"/>
        <v>4.8462823211030104E-6</v>
      </c>
      <c r="Q213" s="8">
        <v>8.9307499999999995E-3</v>
      </c>
      <c r="R213" s="8">
        <f t="shared" si="29"/>
        <v>9.2415979258729749E-8</v>
      </c>
      <c r="S213" s="8">
        <v>2.3890445E-2</v>
      </c>
      <c r="T213" s="8">
        <f t="shared" si="30"/>
        <v>2.472198717466981E-7</v>
      </c>
      <c r="U213" s="8">
        <v>2.3409699999999999E-3</v>
      </c>
      <c r="V213" s="8">
        <f t="shared" si="31"/>
        <v>2.4224509135885405E-8</v>
      </c>
      <c r="W213" s="8">
        <v>2.940467E-3</v>
      </c>
      <c r="X213" s="8">
        <f t="shared" si="32"/>
        <v>2.5067678905521876E-13</v>
      </c>
      <c r="Y213" s="8"/>
      <c r="Z213" s="8">
        <f t="shared" si="33"/>
        <v>0</v>
      </c>
      <c r="AA213" s="8">
        <v>6.3619970000000003E-3</v>
      </c>
      <c r="AB213" s="8">
        <f t="shared" si="34"/>
        <v>6.5834356890082126E-8</v>
      </c>
      <c r="AC213" s="8">
        <v>9.4204589000000005E-2</v>
      </c>
      <c r="AD213" s="18">
        <f t="shared" si="35"/>
        <v>9.7483518664178958E-7</v>
      </c>
      <c r="AE213" s="9">
        <v>96.7</v>
      </c>
      <c r="AF213" s="10">
        <v>94.3</v>
      </c>
      <c r="AG213" s="10">
        <v>95.7</v>
      </c>
      <c r="AH213" s="10">
        <v>96.7</v>
      </c>
      <c r="AI213" s="10">
        <v>96.2</v>
      </c>
      <c r="AJ213" s="10">
        <v>98.6</v>
      </c>
      <c r="AK213" s="11">
        <v>96636.426640000005</v>
      </c>
      <c r="AL213" s="11">
        <v>51.047598299999997</v>
      </c>
      <c r="AM213" s="11">
        <v>14639.90688</v>
      </c>
      <c r="AN213" s="11">
        <v>4.2</v>
      </c>
      <c r="AO213" s="11">
        <v>89.248999999999995</v>
      </c>
      <c r="AP213" s="19">
        <v>4.7244838600000003</v>
      </c>
    </row>
    <row r="214" spans="2:42">
      <c r="B214" t="s">
        <v>122</v>
      </c>
      <c r="C214" t="s">
        <v>123</v>
      </c>
      <c r="D214" t="s">
        <v>124</v>
      </c>
      <c r="E214" t="s">
        <v>35</v>
      </c>
      <c r="F214" t="s">
        <v>36</v>
      </c>
      <c r="G214" t="s">
        <v>37</v>
      </c>
      <c r="H214" t="s">
        <v>38</v>
      </c>
      <c r="I214" t="s">
        <v>39</v>
      </c>
      <c r="J214" t="s">
        <v>40</v>
      </c>
      <c r="K214">
        <v>2012</v>
      </c>
      <c r="L214">
        <v>1.4753288089011301</v>
      </c>
      <c r="M214" s="7">
        <v>8.1945550000000006E-2</v>
      </c>
      <c r="N214" s="7">
        <f t="shared" si="27"/>
        <v>2.6678289191779083E-6</v>
      </c>
      <c r="O214" s="8">
        <v>5.3841342E-2</v>
      </c>
      <c r="P214" s="8">
        <f t="shared" si="28"/>
        <v>1.7528650333660352E-6</v>
      </c>
      <c r="Q214" s="8">
        <v>7.4900300000000004E-4</v>
      </c>
      <c r="R214" s="8">
        <f t="shared" si="29"/>
        <v>2.4384629353894273E-8</v>
      </c>
      <c r="S214" s="16">
        <v>6.1439999999999995E-5</v>
      </c>
      <c r="T214" s="8">
        <f t="shared" si="30"/>
        <v>2.000247832790074E-9</v>
      </c>
      <c r="U214" s="13">
        <v>2.6889E-5</v>
      </c>
      <c r="V214" s="8">
        <f t="shared" si="31"/>
        <v>8.7540143189928884E-10</v>
      </c>
      <c r="W214" s="8">
        <v>1.3697500000000001E-3</v>
      </c>
      <c r="X214" s="8">
        <f t="shared" si="32"/>
        <v>2.8499671500291018E-14</v>
      </c>
      <c r="Y214" s="8"/>
      <c r="Z214" s="8">
        <f t="shared" si="33"/>
        <v>0</v>
      </c>
      <c r="AA214" s="8">
        <v>1.3797320000000001E-3</v>
      </c>
      <c r="AB214" s="8">
        <f t="shared" si="34"/>
        <v>4.491871651743351E-8</v>
      </c>
      <c r="AC214" s="8">
        <v>8.0207125000000004E-2</v>
      </c>
      <c r="AD214" s="18">
        <f t="shared" si="35"/>
        <v>2.6112325513602309E-6</v>
      </c>
      <c r="AE214" s="9">
        <v>78.7</v>
      </c>
      <c r="AF214" s="10">
        <v>84.8</v>
      </c>
      <c r="AG214" s="10">
        <v>87.2</v>
      </c>
      <c r="AH214" s="10">
        <v>89.1</v>
      </c>
      <c r="AI214" s="10">
        <v>87.8</v>
      </c>
      <c r="AJ214" s="10">
        <v>88.3</v>
      </c>
      <c r="AK214" s="11">
        <v>30716.193759999998</v>
      </c>
      <c r="AL214" s="11">
        <v>32.1875</v>
      </c>
      <c r="AM214" s="11">
        <v>4923.4812920000004</v>
      </c>
      <c r="AN214" s="11">
        <v>2.7</v>
      </c>
      <c r="AO214" s="11">
        <v>94.210999999999999</v>
      </c>
      <c r="AP214" s="19">
        <v>34.586489499999999</v>
      </c>
    </row>
    <row r="215" spans="2:42">
      <c r="B215" t="s">
        <v>125</v>
      </c>
      <c r="C215" t="s">
        <v>126</v>
      </c>
      <c r="D215" t="s">
        <v>127</v>
      </c>
      <c r="E215" t="s">
        <v>35</v>
      </c>
      <c r="F215" t="s">
        <v>36</v>
      </c>
      <c r="G215" t="s">
        <v>37</v>
      </c>
      <c r="H215" t="s">
        <v>38</v>
      </c>
      <c r="I215" t="s">
        <v>39</v>
      </c>
      <c r="J215" t="s">
        <v>40</v>
      </c>
      <c r="K215">
        <v>2012</v>
      </c>
      <c r="L215">
        <v>0.89726332120327201</v>
      </c>
      <c r="M215" s="7">
        <v>260.45986670000002</v>
      </c>
      <c r="N215" s="7">
        <f t="shared" si="27"/>
        <v>1.5099216121063446E-2</v>
      </c>
      <c r="O215" s="8">
        <v>3.3579405999999999E-2</v>
      </c>
      <c r="P215" s="8">
        <f t="shared" si="28"/>
        <v>1.9466442751233067E-6</v>
      </c>
      <c r="Q215" s="8">
        <v>2.5295169999999998E-3</v>
      </c>
      <c r="R215" s="8">
        <f t="shared" si="29"/>
        <v>1.4663957387683038E-7</v>
      </c>
      <c r="S215" s="8">
        <v>2.8644E-3</v>
      </c>
      <c r="T215" s="8">
        <f t="shared" si="30"/>
        <v>1.6605320122884842E-7</v>
      </c>
      <c r="U215" s="8">
        <v>1.8566800000000001E-3</v>
      </c>
      <c r="V215" s="8">
        <f t="shared" si="31"/>
        <v>1.0763428908587428E-7</v>
      </c>
      <c r="W215" s="8">
        <v>7.2014649999999998E-3</v>
      </c>
      <c r="X215" s="8">
        <f t="shared" si="32"/>
        <v>6.2397075355050702E-12</v>
      </c>
      <c r="Y215" s="8"/>
      <c r="Z215" s="8">
        <f t="shared" si="33"/>
        <v>0</v>
      </c>
      <c r="AA215" s="8">
        <v>5.8171569999999999E-3</v>
      </c>
      <c r="AB215" s="8">
        <f t="shared" si="34"/>
        <v>3.3722857907443237E-7</v>
      </c>
      <c r="AC215" s="8">
        <v>0.480073943</v>
      </c>
      <c r="AD215" s="18">
        <f t="shared" si="35"/>
        <v>2.7830545685555684E-5</v>
      </c>
      <c r="AE215" s="9">
        <v>64.900000000000006</v>
      </c>
      <c r="AF215" s="10">
        <v>81</v>
      </c>
      <c r="AG215" s="10">
        <v>79.599999999999994</v>
      </c>
      <c r="AH215" s="10">
        <v>77.7</v>
      </c>
      <c r="AI215" s="10">
        <v>81.7</v>
      </c>
      <c r="AJ215" s="10">
        <v>74.2</v>
      </c>
      <c r="AK215" s="11">
        <v>17249.89328</v>
      </c>
      <c r="AL215" s="11">
        <v>43.565348</v>
      </c>
      <c r="AM215" s="11">
        <v>2075.8319649999999</v>
      </c>
      <c r="AN215" s="11">
        <v>11.4</v>
      </c>
      <c r="AO215" s="11">
        <v>41.332000000000001</v>
      </c>
      <c r="AP215" s="19">
        <v>5.0478500799999999</v>
      </c>
    </row>
    <row r="216" spans="2:42">
      <c r="B216" t="s">
        <v>128</v>
      </c>
      <c r="C216" t="s">
        <v>129</v>
      </c>
      <c r="D216" t="s">
        <v>130</v>
      </c>
      <c r="E216" t="s">
        <v>35</v>
      </c>
      <c r="F216" t="s">
        <v>36</v>
      </c>
      <c r="G216" t="s">
        <v>37</v>
      </c>
      <c r="H216" t="s">
        <v>38</v>
      </c>
      <c r="I216" t="s">
        <v>39</v>
      </c>
      <c r="J216" t="s">
        <v>40</v>
      </c>
      <c r="K216">
        <v>2012</v>
      </c>
      <c r="L216">
        <v>0.27597600735886002</v>
      </c>
      <c r="M216" s="7">
        <v>260.45986670000002</v>
      </c>
      <c r="N216" s="7">
        <f t="shared" si="27"/>
        <v>3.5902409941058477E-2</v>
      </c>
      <c r="O216" s="8">
        <v>1.0727985630000001</v>
      </c>
      <c r="P216" s="8">
        <f t="shared" si="28"/>
        <v>1.4787711550727153E-4</v>
      </c>
      <c r="Q216" s="8">
        <v>0.22198799399999999</v>
      </c>
      <c r="R216" s="8">
        <f t="shared" si="29"/>
        <v>3.0599355146568644E-5</v>
      </c>
      <c r="S216" s="8">
        <v>9.4281303999999996E-2</v>
      </c>
      <c r="T216" s="8">
        <f t="shared" si="30"/>
        <v>1.2995960064297905E-5</v>
      </c>
      <c r="U216" s="8">
        <v>9.1998700000000004E-4</v>
      </c>
      <c r="V216" s="8">
        <f t="shared" si="31"/>
        <v>1.2681320478631944E-7</v>
      </c>
      <c r="W216" s="8">
        <v>2.3354550000000002E-3</v>
      </c>
      <c r="X216" s="8">
        <f t="shared" si="32"/>
        <v>1.7480234946990545E-11</v>
      </c>
      <c r="Y216" s="8"/>
      <c r="Z216" s="8">
        <f t="shared" si="33"/>
        <v>0</v>
      </c>
      <c r="AA216" s="8">
        <v>7.9205630000000003E-3</v>
      </c>
      <c r="AB216" s="8">
        <f t="shared" si="34"/>
        <v>1.0917893163076702E-6</v>
      </c>
      <c r="AC216" s="8">
        <v>0.81826834100000001</v>
      </c>
      <c r="AD216" s="18">
        <f t="shared" si="35"/>
        <v>1.1279206195021762E-4</v>
      </c>
      <c r="AE216" s="9">
        <v>31.8</v>
      </c>
      <c r="AF216" s="10">
        <v>33.6</v>
      </c>
      <c r="AG216" s="10">
        <v>46.9</v>
      </c>
      <c r="AH216" s="10">
        <v>49.3</v>
      </c>
      <c r="AI216" s="10">
        <v>46</v>
      </c>
      <c r="AJ216" s="10">
        <v>47.4</v>
      </c>
      <c r="AK216" s="11">
        <v>7254.6624899999997</v>
      </c>
      <c r="AL216" s="11">
        <v>74.863055399999993</v>
      </c>
      <c r="AM216" s="11">
        <v>2107.1039500000002</v>
      </c>
      <c r="AN216" s="11">
        <v>22.1</v>
      </c>
      <c r="AO216" s="11">
        <v>42.558</v>
      </c>
      <c r="AP216" s="19">
        <v>2.8843265699999998</v>
      </c>
    </row>
    <row r="217" spans="2:42">
      <c r="B217" t="s">
        <v>131</v>
      </c>
      <c r="C217" t="s">
        <v>132</v>
      </c>
      <c r="D217" t="s">
        <v>133</v>
      </c>
      <c r="E217" t="s">
        <v>35</v>
      </c>
      <c r="F217" t="s">
        <v>36</v>
      </c>
      <c r="G217" t="s">
        <v>37</v>
      </c>
      <c r="H217" t="s">
        <v>38</v>
      </c>
      <c r="I217" t="s">
        <v>39</v>
      </c>
      <c r="J217" t="s">
        <v>40</v>
      </c>
      <c r="K217">
        <v>2012</v>
      </c>
      <c r="L217">
        <v>1.54632859903885</v>
      </c>
      <c r="M217" s="7">
        <v>11.36378519</v>
      </c>
      <c r="N217" s="7">
        <f t="shared" si="27"/>
        <v>2.384677579674474E-4</v>
      </c>
      <c r="O217" s="8">
        <v>12.79181595</v>
      </c>
      <c r="P217" s="8">
        <f t="shared" si="28"/>
        <v>2.6843482333800906E-4</v>
      </c>
      <c r="Q217" s="8">
        <v>0.27606678400000001</v>
      </c>
      <c r="R217" s="8">
        <f t="shared" si="29"/>
        <v>5.7932305063013593E-6</v>
      </c>
      <c r="S217" s="8">
        <v>3.0375357620000001</v>
      </c>
      <c r="T217" s="8">
        <f t="shared" si="30"/>
        <v>6.3742347360411689E-5</v>
      </c>
      <c r="U217" s="8">
        <v>1.7353080999999999E-2</v>
      </c>
      <c r="V217" s="8">
        <f t="shared" si="31"/>
        <v>3.6415245894818876E-7</v>
      </c>
      <c r="W217" s="8">
        <v>0.13315215499999999</v>
      </c>
      <c r="X217" s="8">
        <f t="shared" si="32"/>
        <v>7.641698517860447E-12</v>
      </c>
      <c r="Y217" s="8">
        <v>9.2788244000000006E-2</v>
      </c>
      <c r="Z217" s="8">
        <f t="shared" si="33"/>
        <v>1.947150895802568E-6</v>
      </c>
      <c r="AA217" s="8">
        <v>8.9407881999999994E-2</v>
      </c>
      <c r="AB217" s="8">
        <f t="shared" si="34"/>
        <v>1.8762143782795401E-6</v>
      </c>
      <c r="AC217" s="8">
        <v>5.2641289699999998</v>
      </c>
      <c r="AD217" s="18">
        <f t="shared" si="35"/>
        <v>1.1046715615779676E-4</v>
      </c>
      <c r="AE217" s="9">
        <v>96.2</v>
      </c>
      <c r="AF217" s="10">
        <v>97.2</v>
      </c>
      <c r="AG217" s="10">
        <v>91.5</v>
      </c>
      <c r="AH217" s="10">
        <v>96.2</v>
      </c>
      <c r="AI217" s="10">
        <v>97.2</v>
      </c>
      <c r="AJ217" s="10">
        <v>97.2</v>
      </c>
      <c r="AK217" s="11">
        <v>47653.340170000003</v>
      </c>
      <c r="AL217" s="11">
        <v>54.617437700000004</v>
      </c>
      <c r="AM217" s="11">
        <v>6872.7699890000004</v>
      </c>
      <c r="AN217" s="11">
        <v>4.9000000000000004</v>
      </c>
      <c r="AO217" s="11">
        <v>88.587999999999994</v>
      </c>
      <c r="AP217" s="19">
        <v>30.700511800000001</v>
      </c>
    </row>
    <row r="218" spans="2:42">
      <c r="B218" t="s">
        <v>134</v>
      </c>
      <c r="C218" t="s">
        <v>135</v>
      </c>
      <c r="D218" t="s">
        <v>136</v>
      </c>
      <c r="E218" t="s">
        <v>35</v>
      </c>
      <c r="F218" t="s">
        <v>36</v>
      </c>
      <c r="G218" t="s">
        <v>37</v>
      </c>
      <c r="H218" t="s">
        <v>38</v>
      </c>
      <c r="I218" t="s">
        <v>39</v>
      </c>
      <c r="J218" t="s">
        <v>40</v>
      </c>
      <c r="K218">
        <v>2012</v>
      </c>
      <c r="L218">
        <v>0.76992550403113602</v>
      </c>
      <c r="M218" s="7">
        <v>86.830871939999994</v>
      </c>
      <c r="N218" s="7">
        <f t="shared" si="27"/>
        <v>1.3201326840527553E-3</v>
      </c>
      <c r="O218" s="8">
        <v>2.7483510149999999</v>
      </c>
      <c r="P218" s="8">
        <f t="shared" si="28"/>
        <v>4.178453954324145E-5</v>
      </c>
      <c r="Q218" s="8">
        <v>0.24725683000000001</v>
      </c>
      <c r="R218" s="8">
        <f t="shared" si="29"/>
        <v>3.7591678552281029E-6</v>
      </c>
      <c r="S218" s="8">
        <v>4.4755115029999999</v>
      </c>
      <c r="T218" s="8">
        <f t="shared" si="30"/>
        <v>6.8043414524812979E-5</v>
      </c>
      <c r="U218" s="8">
        <v>3.1339268000000003E-2</v>
      </c>
      <c r="V218" s="8">
        <f t="shared" si="31"/>
        <v>4.7646638870189645E-7</v>
      </c>
      <c r="W218" s="8">
        <v>1.713396E-2</v>
      </c>
      <c r="X218" s="8">
        <f t="shared" si="32"/>
        <v>7.2439541205182793E-12</v>
      </c>
      <c r="Y218" s="8">
        <v>0.108942176</v>
      </c>
      <c r="Z218" s="8">
        <f t="shared" si="33"/>
        <v>1.6563017737378681E-6</v>
      </c>
      <c r="AA218" s="8">
        <v>2.9063484000000001E-2</v>
      </c>
      <c r="AB218" s="8">
        <f t="shared" si="34"/>
        <v>4.4186651917253929E-7</v>
      </c>
      <c r="AC218" s="8">
        <v>0.69438739000000005</v>
      </c>
      <c r="AD218" s="18">
        <f t="shared" si="35"/>
        <v>1.0557114865396197E-5</v>
      </c>
      <c r="AE218" s="9">
        <v>98.6</v>
      </c>
      <c r="AF218" s="10">
        <v>98.1</v>
      </c>
      <c r="AG218" s="10">
        <v>95.3</v>
      </c>
      <c r="AH218" s="10">
        <v>92.9</v>
      </c>
      <c r="AI218" s="10">
        <v>100</v>
      </c>
      <c r="AJ218" s="10">
        <v>100</v>
      </c>
      <c r="AK218" s="11">
        <v>65774.352069999994</v>
      </c>
      <c r="AL218" s="11">
        <v>2.7181829099999999</v>
      </c>
      <c r="AM218" s="11">
        <v>24048.668809999999</v>
      </c>
      <c r="AN218" s="11">
        <v>56.9</v>
      </c>
      <c r="AO218" s="11">
        <v>79.873999999999995</v>
      </c>
      <c r="AP218" s="19">
        <v>5.4405621699999998</v>
      </c>
    </row>
    <row r="219" spans="2:42">
      <c r="B219" t="s">
        <v>137</v>
      </c>
      <c r="C219" t="s">
        <v>138</v>
      </c>
      <c r="D219" t="s">
        <v>139</v>
      </c>
      <c r="E219" t="s">
        <v>35</v>
      </c>
      <c r="F219" t="s">
        <v>36</v>
      </c>
      <c r="G219" t="s">
        <v>37</v>
      </c>
      <c r="H219" t="s">
        <v>38</v>
      </c>
      <c r="I219" t="s">
        <v>39</v>
      </c>
      <c r="J219" t="s">
        <v>40</v>
      </c>
      <c r="K219">
        <v>2012</v>
      </c>
      <c r="L219">
        <v>0.58985769990977199</v>
      </c>
      <c r="M219" s="7">
        <v>1.0302011310000001</v>
      </c>
      <c r="N219" s="7">
        <f t="shared" si="27"/>
        <v>4.3416841117438726E-5</v>
      </c>
      <c r="O219" s="8">
        <v>18.390992140000002</v>
      </c>
      <c r="P219" s="8">
        <f t="shared" si="28"/>
        <v>7.7507076987905611E-4</v>
      </c>
      <c r="Q219" s="8">
        <v>4.184073401</v>
      </c>
      <c r="R219" s="8">
        <f t="shared" si="29"/>
        <v>1.7633377076434065E-4</v>
      </c>
      <c r="S219" s="8">
        <v>22.444855860000001</v>
      </c>
      <c r="T219" s="8">
        <f t="shared" si="30"/>
        <v>9.459169782035829E-4</v>
      </c>
      <c r="U219" s="8">
        <v>9.6508987000000004E-2</v>
      </c>
      <c r="V219" s="8">
        <f t="shared" si="31"/>
        <v>4.0672789311701494E-6</v>
      </c>
      <c r="W219" s="8">
        <v>0.131101513</v>
      </c>
      <c r="X219" s="8">
        <f t="shared" si="32"/>
        <v>1.7141157956554441E-10</v>
      </c>
      <c r="Y219" s="8">
        <v>2.2590124999999999E-2</v>
      </c>
      <c r="Z219" s="8">
        <f t="shared" si="33"/>
        <v>9.520392071362231E-7</v>
      </c>
      <c r="AA219" s="8">
        <v>0.20943841399999999</v>
      </c>
      <c r="AB219" s="8">
        <f t="shared" si="34"/>
        <v>8.8265815974204684E-6</v>
      </c>
      <c r="AC219" s="8">
        <v>11.39379918</v>
      </c>
      <c r="AD219" s="18">
        <f t="shared" si="35"/>
        <v>4.8018076648962988E-4</v>
      </c>
      <c r="AE219" s="9">
        <v>73</v>
      </c>
      <c r="AF219" s="10">
        <v>70.599999999999994</v>
      </c>
      <c r="AG219" s="10">
        <v>86.3</v>
      </c>
      <c r="AH219" s="10">
        <v>79.099999999999994</v>
      </c>
      <c r="AI219" s="10">
        <v>73.2</v>
      </c>
      <c r="AJ219" s="10">
        <v>82.6</v>
      </c>
      <c r="AK219" s="11">
        <v>23728.145680000001</v>
      </c>
      <c r="AL219" s="11">
        <v>47.4462805</v>
      </c>
      <c r="AM219" s="11">
        <v>3899.1766419999999</v>
      </c>
      <c r="AN219" s="11">
        <v>10.9</v>
      </c>
      <c r="AO219" s="11">
        <v>60.654000000000003</v>
      </c>
      <c r="AP219" s="19">
        <v>1.5288609099999999</v>
      </c>
    </row>
    <row r="220" spans="2:42">
      <c r="B220" t="s">
        <v>140</v>
      </c>
      <c r="C220" t="s">
        <v>141</v>
      </c>
      <c r="D220" t="s">
        <v>142</v>
      </c>
      <c r="E220" t="s">
        <v>35</v>
      </c>
      <c r="F220" t="s">
        <v>36</v>
      </c>
      <c r="G220" t="s">
        <v>37</v>
      </c>
      <c r="H220" t="s">
        <v>38</v>
      </c>
      <c r="I220" t="s">
        <v>39</v>
      </c>
      <c r="J220" t="s">
        <v>40</v>
      </c>
      <c r="K220">
        <v>2012</v>
      </c>
      <c r="L220">
        <v>0.62997903688510004</v>
      </c>
      <c r="M220" s="7">
        <v>64.488744120000007</v>
      </c>
      <c r="N220" s="7">
        <f t="shared" si="27"/>
        <v>2.4357233891183949E-3</v>
      </c>
      <c r="O220" s="8">
        <v>4.7003521719999997</v>
      </c>
      <c r="P220" s="8">
        <f t="shared" si="28"/>
        <v>1.7753110063874271E-4</v>
      </c>
      <c r="Q220" s="8">
        <v>0.28851040999999999</v>
      </c>
      <c r="R220" s="8">
        <f t="shared" si="29"/>
        <v>1.089696447388558E-5</v>
      </c>
      <c r="S220" s="8">
        <v>0.391035191</v>
      </c>
      <c r="T220" s="8">
        <f t="shared" si="30"/>
        <v>1.4769299258096311E-5</v>
      </c>
      <c r="U220" s="8">
        <v>4.4207140999999998E-2</v>
      </c>
      <c r="V220" s="8">
        <f t="shared" si="31"/>
        <v>1.669692421043146E-6</v>
      </c>
      <c r="W220" s="8">
        <v>3.6430406999999998E-2</v>
      </c>
      <c r="X220" s="8">
        <f t="shared" si="32"/>
        <v>6.3063856151405992E-11</v>
      </c>
      <c r="Y220" s="8">
        <v>1.7743450000000001E-3</v>
      </c>
      <c r="Z220" s="8">
        <f t="shared" si="33"/>
        <v>6.7016557320813866E-8</v>
      </c>
      <c r="AA220" s="8">
        <v>2.8179238999999998E-2</v>
      </c>
      <c r="AB220" s="8">
        <f t="shared" si="34"/>
        <v>1.0643226574879258E-6</v>
      </c>
      <c r="AC220" s="8">
        <v>3.6344647989999999</v>
      </c>
      <c r="AD220" s="18">
        <f t="shared" si="35"/>
        <v>1.3727280688516819E-4</v>
      </c>
      <c r="AE220" s="9">
        <v>79.599999999999994</v>
      </c>
      <c r="AF220" s="10">
        <v>79.099999999999994</v>
      </c>
      <c r="AG220" s="10">
        <v>70.599999999999994</v>
      </c>
      <c r="AH220" s="10">
        <v>75.400000000000006</v>
      </c>
      <c r="AI220" s="10">
        <v>82.6</v>
      </c>
      <c r="AJ220" s="10">
        <v>81.2</v>
      </c>
      <c r="AK220" s="11">
        <v>26476.218280000001</v>
      </c>
      <c r="AL220" s="11">
        <v>40.008843800000001</v>
      </c>
      <c r="AM220" s="11">
        <v>4736.3517709999996</v>
      </c>
      <c r="AN220" s="11">
        <v>25.5</v>
      </c>
      <c r="AO220" s="11">
        <v>61.762999999999998</v>
      </c>
      <c r="AP220" s="19">
        <v>7.2153519499999996</v>
      </c>
    </row>
    <row r="221" spans="2:42">
      <c r="B221" t="s">
        <v>143</v>
      </c>
      <c r="C221" t="s">
        <v>144</v>
      </c>
      <c r="D221" t="s">
        <v>145</v>
      </c>
      <c r="E221" t="s">
        <v>35</v>
      </c>
      <c r="F221" t="s">
        <v>36</v>
      </c>
      <c r="G221" t="s">
        <v>37</v>
      </c>
      <c r="H221" t="s">
        <v>38</v>
      </c>
      <c r="I221" t="s">
        <v>39</v>
      </c>
      <c r="J221" t="s">
        <v>40</v>
      </c>
      <c r="K221">
        <v>2012</v>
      </c>
      <c r="L221">
        <v>0.83144769905868399</v>
      </c>
      <c r="M221" s="7">
        <v>11.68970803</v>
      </c>
      <c r="N221" s="7">
        <f t="shared" si="27"/>
        <v>5.9016699940026029E-4</v>
      </c>
      <c r="O221" s="8">
        <v>9.3089119769999993</v>
      </c>
      <c r="P221" s="8">
        <f t="shared" si="28"/>
        <v>4.6997004844330867E-4</v>
      </c>
      <c r="Q221" s="8">
        <v>1.2146423049999999</v>
      </c>
      <c r="R221" s="8">
        <f t="shared" si="29"/>
        <v>6.1322472952001151E-5</v>
      </c>
      <c r="S221" s="8">
        <v>3.907433384</v>
      </c>
      <c r="T221" s="8">
        <f t="shared" si="30"/>
        <v>1.9727081546207659E-4</v>
      </c>
      <c r="U221" s="8">
        <v>2.0375567000000001E-2</v>
      </c>
      <c r="V221" s="8">
        <f t="shared" si="31"/>
        <v>1.0286815724232389E-6</v>
      </c>
      <c r="W221" s="8">
        <v>1.6547580999999999E-2</v>
      </c>
      <c r="X221" s="8">
        <f t="shared" si="32"/>
        <v>5.1934053047119984E-11</v>
      </c>
      <c r="Y221" s="8">
        <v>4.2926965999999997E-2</v>
      </c>
      <c r="Z221" s="8">
        <f t="shared" si="33"/>
        <v>2.167212273613731E-6</v>
      </c>
      <c r="AA221" s="8">
        <v>3.0539011000000001E-2</v>
      </c>
      <c r="AB221" s="8">
        <f t="shared" si="34"/>
        <v>1.5417935538054273E-6</v>
      </c>
      <c r="AC221" s="8">
        <v>6.6725523369999999</v>
      </c>
      <c r="AD221" s="18">
        <f t="shared" si="35"/>
        <v>3.3687070549258912E-4</v>
      </c>
      <c r="AE221" s="9">
        <v>44.5</v>
      </c>
      <c r="AF221" s="10">
        <v>49.3</v>
      </c>
      <c r="AG221" s="10">
        <v>48.8</v>
      </c>
      <c r="AH221" s="10">
        <v>68.7</v>
      </c>
      <c r="AI221" s="10">
        <v>57.7</v>
      </c>
      <c r="AJ221" s="10">
        <v>57.7</v>
      </c>
      <c r="AK221" s="11">
        <v>19807.45796</v>
      </c>
      <c r="AL221" s="11">
        <v>59.703504000000002</v>
      </c>
      <c r="AM221" s="11">
        <v>2604.2431369999999</v>
      </c>
      <c r="AN221" s="11">
        <v>21.5</v>
      </c>
      <c r="AO221" s="11">
        <v>53.973999999999997</v>
      </c>
      <c r="AP221" s="19">
        <v>1.7014377300000001</v>
      </c>
    </row>
    <row r="222" spans="2:42">
      <c r="B222" t="s">
        <v>146</v>
      </c>
      <c r="C222" t="s">
        <v>147</v>
      </c>
      <c r="D222" t="s">
        <v>148</v>
      </c>
      <c r="E222" t="s">
        <v>35</v>
      </c>
      <c r="F222" t="s">
        <v>36</v>
      </c>
      <c r="G222" t="s">
        <v>37</v>
      </c>
      <c r="H222" t="s">
        <v>38</v>
      </c>
      <c r="I222" t="s">
        <v>39</v>
      </c>
      <c r="J222" t="s">
        <v>40</v>
      </c>
      <c r="K222">
        <v>2012</v>
      </c>
      <c r="L222">
        <v>0.87135790318821005</v>
      </c>
      <c r="M222" s="7">
        <v>0.97460448700000002</v>
      </c>
      <c r="N222" s="7">
        <f t="shared" si="27"/>
        <v>3.6066040469116546E-5</v>
      </c>
      <c r="O222" s="8">
        <v>1.7023985930000001</v>
      </c>
      <c r="P222" s="8">
        <f t="shared" si="28"/>
        <v>6.2998659834515079E-5</v>
      </c>
      <c r="Q222" s="8">
        <v>4.7338379999999999E-2</v>
      </c>
      <c r="R222" s="8">
        <f t="shared" si="29"/>
        <v>1.751795678755599E-6</v>
      </c>
      <c r="S222" s="8">
        <v>0.91043589999999996</v>
      </c>
      <c r="T222" s="8">
        <f t="shared" si="30"/>
        <v>3.3691429140666931E-5</v>
      </c>
      <c r="U222" s="8">
        <v>1.7400907E-2</v>
      </c>
      <c r="V222" s="8">
        <f t="shared" si="31"/>
        <v>6.439348724867233E-7</v>
      </c>
      <c r="W222" s="8">
        <v>2.2075307999999998E-2</v>
      </c>
      <c r="X222" s="8">
        <f t="shared" si="32"/>
        <v>2.3829339470896122E-11</v>
      </c>
      <c r="Y222" s="8">
        <v>1.2683209000000001E-2</v>
      </c>
      <c r="Z222" s="8">
        <f t="shared" si="33"/>
        <v>4.6935257858325787E-7</v>
      </c>
      <c r="AA222" s="8">
        <v>7.9713479999999996E-3</v>
      </c>
      <c r="AB222" s="8">
        <f t="shared" si="34"/>
        <v>2.9498628766461985E-7</v>
      </c>
      <c r="AC222" s="8">
        <v>3.506044325</v>
      </c>
      <c r="AD222" s="18">
        <f t="shared" si="35"/>
        <v>1.2974405330432918E-4</v>
      </c>
      <c r="AE222" s="9">
        <v>59.7</v>
      </c>
      <c r="AF222" s="10">
        <v>73.900000000000006</v>
      </c>
      <c r="AG222" s="10">
        <v>88.2</v>
      </c>
      <c r="AH222" s="10">
        <v>80.099999999999994</v>
      </c>
      <c r="AI222" s="10">
        <v>64.8</v>
      </c>
      <c r="AJ222" s="10">
        <v>77.5</v>
      </c>
      <c r="AK222" s="11">
        <v>27022.774730000001</v>
      </c>
      <c r="AL222" s="11">
        <v>40.0806854</v>
      </c>
      <c r="AM222" s="11">
        <v>5137.7890180000004</v>
      </c>
      <c r="AN222" s="11">
        <v>10.5</v>
      </c>
      <c r="AO222" s="11">
        <v>54.28</v>
      </c>
      <c r="AP222" s="19">
        <v>1.87551069</v>
      </c>
    </row>
    <row r="223" spans="2:42">
      <c r="B223" t="s">
        <v>149</v>
      </c>
      <c r="C223" t="s">
        <v>150</v>
      </c>
      <c r="D223" t="s">
        <v>151</v>
      </c>
      <c r="E223" t="s">
        <v>35</v>
      </c>
      <c r="F223" t="s">
        <v>36</v>
      </c>
      <c r="G223" t="s">
        <v>37</v>
      </c>
      <c r="H223" t="s">
        <v>38</v>
      </c>
      <c r="I223" t="s">
        <v>39</v>
      </c>
      <c r="J223" t="s">
        <v>40</v>
      </c>
      <c r="K223">
        <v>2012</v>
      </c>
      <c r="L223">
        <v>0.75774619138119803</v>
      </c>
      <c r="M223" s="7">
        <v>52.181368980000002</v>
      </c>
      <c r="N223" s="7">
        <f t="shared" si="27"/>
        <v>1.8126895356579741E-3</v>
      </c>
      <c r="O223" s="8">
        <v>1.5470878260000001</v>
      </c>
      <c r="P223" s="8">
        <f t="shared" si="28"/>
        <v>5.3743126478895313E-5</v>
      </c>
      <c r="Q223" s="8">
        <v>0.19179703200000001</v>
      </c>
      <c r="R223" s="8">
        <f t="shared" si="29"/>
        <v>6.662693594909544E-6</v>
      </c>
      <c r="S223" s="8">
        <v>1.238008547</v>
      </c>
      <c r="T223" s="8">
        <f t="shared" si="30"/>
        <v>4.3006252654317255E-5</v>
      </c>
      <c r="U223" s="8">
        <v>3.8250900000000002E-3</v>
      </c>
      <c r="V223" s="8">
        <f t="shared" si="31"/>
        <v>1.3287693963352127E-7</v>
      </c>
      <c r="W223" s="8">
        <v>4.0073310000000003E-3</v>
      </c>
      <c r="X223" s="8">
        <f t="shared" si="32"/>
        <v>4.6159125893431149E-12</v>
      </c>
      <c r="Y223" s="8">
        <v>6.4400000000000004E-3</v>
      </c>
      <c r="Z223" s="8">
        <f t="shared" si="33"/>
        <v>2.2371434168604585E-7</v>
      </c>
      <c r="AA223" s="8">
        <v>8.9430180000000005E-3</v>
      </c>
      <c r="AB223" s="8">
        <f t="shared" si="34"/>
        <v>3.1066481126653076E-7</v>
      </c>
      <c r="AC223" s="8">
        <v>0.66088298099999998</v>
      </c>
      <c r="AD223" s="18">
        <f t="shared" si="35"/>
        <v>2.2957919413963746E-5</v>
      </c>
      <c r="AE223" s="9">
        <v>76.8</v>
      </c>
      <c r="AF223" s="10">
        <v>80.599999999999994</v>
      </c>
      <c r="AG223" s="10">
        <v>77.3</v>
      </c>
      <c r="AH223" s="10">
        <v>71.599999999999994</v>
      </c>
      <c r="AI223" s="10">
        <v>80.8</v>
      </c>
      <c r="AJ223" s="10">
        <v>78.400000000000006</v>
      </c>
      <c r="AK223" s="11">
        <v>28786.71055</v>
      </c>
      <c r="AL223" s="11">
        <v>30.368267199999998</v>
      </c>
      <c r="AM223" s="11">
        <v>6719.4611599999998</v>
      </c>
      <c r="AN223" s="11">
        <v>20.2</v>
      </c>
      <c r="AO223" s="11">
        <v>53.107999999999997</v>
      </c>
      <c r="AP223" s="19">
        <v>7.2644639999999996E-2</v>
      </c>
    </row>
    <row r="224" spans="2:42">
      <c r="B224" t="s">
        <v>152</v>
      </c>
      <c r="C224" t="s">
        <v>153</v>
      </c>
      <c r="D224" t="s">
        <v>154</v>
      </c>
      <c r="E224" t="s">
        <v>35</v>
      </c>
      <c r="F224" t="s">
        <v>36</v>
      </c>
      <c r="G224" t="s">
        <v>37</v>
      </c>
      <c r="H224" t="s">
        <v>38</v>
      </c>
      <c r="I224" t="s">
        <v>39</v>
      </c>
      <c r="J224" t="s">
        <v>40</v>
      </c>
      <c r="K224">
        <v>2012</v>
      </c>
      <c r="L224">
        <v>0.92115306095728899</v>
      </c>
      <c r="M224" s="7">
        <v>0.97460448700000002</v>
      </c>
      <c r="N224" s="7">
        <f t="shared" si="27"/>
        <v>3.0580831285571834E-5</v>
      </c>
      <c r="O224" s="8">
        <v>25.078865759999999</v>
      </c>
      <c r="P224" s="8">
        <f t="shared" si="28"/>
        <v>7.8691671633978862E-4</v>
      </c>
      <c r="Q224" s="8">
        <v>1.0598751550000001</v>
      </c>
      <c r="R224" s="8">
        <f t="shared" si="29"/>
        <v>3.3256427331453787E-5</v>
      </c>
      <c r="S224" s="8">
        <v>1.4207983689999999</v>
      </c>
      <c r="T224" s="8">
        <f t="shared" si="30"/>
        <v>4.4581361765477518E-5</v>
      </c>
      <c r="U224" s="8">
        <v>7.8355507000000005E-2</v>
      </c>
      <c r="V224" s="8">
        <f t="shared" si="31"/>
        <v>2.4586143115740067E-6</v>
      </c>
      <c r="W224" s="8">
        <v>0.114646414</v>
      </c>
      <c r="X224" s="8">
        <f t="shared" si="32"/>
        <v>7.7145622107665343E-11</v>
      </c>
      <c r="Y224" s="8">
        <v>3.9395039E-2</v>
      </c>
      <c r="Z224" s="8">
        <f t="shared" si="33"/>
        <v>1.236125071469656E-6</v>
      </c>
      <c r="AA224" s="8">
        <v>0.17909998399999999</v>
      </c>
      <c r="AB224" s="8">
        <f t="shared" si="34"/>
        <v>5.6197426412552667E-6</v>
      </c>
      <c r="AC224" s="8">
        <v>16.649247760000002</v>
      </c>
      <c r="AD224" s="18">
        <f t="shared" si="35"/>
        <v>5.2241482937092699E-4</v>
      </c>
      <c r="AE224" s="9">
        <v>83.4</v>
      </c>
      <c r="AF224" s="10">
        <v>81.5</v>
      </c>
      <c r="AG224" s="10">
        <v>42.7</v>
      </c>
      <c r="AH224" s="10">
        <v>78.2</v>
      </c>
      <c r="AI224" s="10">
        <v>83.1</v>
      </c>
      <c r="AJ224" s="10">
        <v>82.2</v>
      </c>
      <c r="AK224" s="11">
        <v>31869.78398</v>
      </c>
      <c r="AL224" s="11">
        <v>53.861378199999997</v>
      </c>
      <c r="AM224" s="11">
        <v>5573.3798020000004</v>
      </c>
      <c r="AN224" s="11">
        <v>15.8</v>
      </c>
      <c r="AO224" s="11">
        <v>78.902000000000001</v>
      </c>
      <c r="AP224" s="19">
        <v>1.5663832</v>
      </c>
    </row>
    <row r="225" spans="2:42">
      <c r="B225" t="s">
        <v>155</v>
      </c>
      <c r="C225" t="s">
        <v>156</v>
      </c>
      <c r="D225" t="s">
        <v>157</v>
      </c>
      <c r="E225" t="s">
        <v>35</v>
      </c>
      <c r="F225" t="s">
        <v>36</v>
      </c>
      <c r="G225" t="s">
        <v>37</v>
      </c>
      <c r="H225" t="s">
        <v>38</v>
      </c>
      <c r="I225" t="s">
        <v>39</v>
      </c>
      <c r="J225" t="s">
        <v>40</v>
      </c>
      <c r="K225">
        <v>2012</v>
      </c>
      <c r="L225">
        <v>0.45970089920455998</v>
      </c>
      <c r="M225" s="7">
        <v>60.821592850000002</v>
      </c>
      <c r="N225" s="7">
        <f t="shared" si="27"/>
        <v>1.3454025061087438E-3</v>
      </c>
      <c r="O225" s="8">
        <v>4.1274092019999999</v>
      </c>
      <c r="P225" s="8">
        <f t="shared" si="28"/>
        <v>9.1300250846802514E-5</v>
      </c>
      <c r="Q225" s="8">
        <v>0.47296758799999999</v>
      </c>
      <c r="R225" s="8">
        <f t="shared" si="29"/>
        <v>1.0462267566269565E-5</v>
      </c>
      <c r="S225" s="8">
        <v>0.15233963</v>
      </c>
      <c r="T225" s="8">
        <f t="shared" si="30"/>
        <v>3.369824931865111E-6</v>
      </c>
      <c r="U225" s="8">
        <v>0.165688482</v>
      </c>
      <c r="V225" s="8">
        <f t="shared" si="31"/>
        <v>3.6651078748614768E-6</v>
      </c>
      <c r="W225" s="8">
        <v>0.19219481499999999</v>
      </c>
      <c r="X225" s="8">
        <f t="shared" si="32"/>
        <v>8.1073926034107851E-11</v>
      </c>
      <c r="Y225" s="8">
        <v>1.0901904E-2</v>
      </c>
      <c r="Z225" s="8">
        <f t="shared" si="33"/>
        <v>2.41155291659826E-7</v>
      </c>
      <c r="AA225" s="8">
        <v>7.6120186000000006E-2</v>
      </c>
      <c r="AB225" s="8">
        <f t="shared" si="34"/>
        <v>1.6838146488934599E-6</v>
      </c>
      <c r="AC225" s="8">
        <v>3.6304080669999998</v>
      </c>
      <c r="AD225" s="18">
        <f t="shared" si="35"/>
        <v>8.0306349812066791E-5</v>
      </c>
      <c r="AE225" s="9">
        <v>99.1</v>
      </c>
      <c r="AF225" s="10">
        <v>98.6</v>
      </c>
      <c r="AG225" s="10">
        <v>90</v>
      </c>
      <c r="AH225" s="10">
        <v>99.1</v>
      </c>
      <c r="AI225" s="10">
        <v>99.1</v>
      </c>
      <c r="AJ225" s="10">
        <v>99.5</v>
      </c>
      <c r="AK225" s="11">
        <v>45206.986440000001</v>
      </c>
      <c r="AL225" s="11">
        <v>7.4421913699999998</v>
      </c>
      <c r="AM225" s="11">
        <v>14289.595090000001</v>
      </c>
      <c r="AN225" s="11">
        <v>48.3</v>
      </c>
      <c r="AO225" s="11">
        <v>85.62</v>
      </c>
      <c r="AP225" s="19">
        <v>0.77737012999999999</v>
      </c>
    </row>
    <row r="226" spans="2:42">
      <c r="B226" t="s">
        <v>158</v>
      </c>
      <c r="C226" t="s">
        <v>159</v>
      </c>
      <c r="D226" t="s">
        <v>160</v>
      </c>
      <c r="E226" t="s">
        <v>35</v>
      </c>
      <c r="F226" t="s">
        <v>36</v>
      </c>
      <c r="G226" t="s">
        <v>37</v>
      </c>
      <c r="H226" t="s">
        <v>38</v>
      </c>
      <c r="I226" t="s">
        <v>39</v>
      </c>
      <c r="J226" t="s">
        <v>40</v>
      </c>
      <c r="K226">
        <v>2012</v>
      </c>
      <c r="L226">
        <v>0.58594900327446298</v>
      </c>
      <c r="M226" s="7">
        <v>52.181368980000002</v>
      </c>
      <c r="N226" s="7">
        <f t="shared" si="27"/>
        <v>8.778695318709714E-4</v>
      </c>
      <c r="O226" s="8">
        <v>4.1039752969999999</v>
      </c>
      <c r="P226" s="8">
        <f t="shared" si="28"/>
        <v>6.9042935116713386E-5</v>
      </c>
      <c r="Q226" s="8">
        <v>0.26953020100000002</v>
      </c>
      <c r="R226" s="8">
        <f t="shared" si="29"/>
        <v>4.5344220744313418E-6</v>
      </c>
      <c r="S226" s="8">
        <v>0.48216920800000002</v>
      </c>
      <c r="T226" s="8">
        <f t="shared" si="30"/>
        <v>8.1117392123574184E-6</v>
      </c>
      <c r="U226" s="8">
        <v>1.9393092000000001E-2</v>
      </c>
      <c r="V226" s="8">
        <f t="shared" si="31"/>
        <v>3.2625829732630909E-7</v>
      </c>
      <c r="W226" s="8">
        <v>4.1721868000000002E-2</v>
      </c>
      <c r="X226" s="8">
        <f t="shared" si="32"/>
        <v>5.4887831488791111E-12</v>
      </c>
      <c r="Y226" s="8">
        <v>3.1900959999999999E-3</v>
      </c>
      <c r="Z226" s="8">
        <f t="shared" si="33"/>
        <v>5.3668352074412328E-8</v>
      </c>
      <c r="AA226" s="8">
        <v>3.4405006000000002E-2</v>
      </c>
      <c r="AB226" s="8">
        <f t="shared" si="34"/>
        <v>5.7881015967239506E-7</v>
      </c>
      <c r="AC226" s="8">
        <v>0.21536296699999999</v>
      </c>
      <c r="AD226" s="18">
        <f t="shared" si="35"/>
        <v>3.6231434843171002E-6</v>
      </c>
      <c r="AE226" s="9">
        <v>97.6</v>
      </c>
      <c r="AF226" s="10">
        <v>97.6</v>
      </c>
      <c r="AG226" s="10">
        <v>98.6</v>
      </c>
      <c r="AH226" s="10">
        <v>95.3</v>
      </c>
      <c r="AI226" s="10">
        <v>96.7</v>
      </c>
      <c r="AJ226" s="10">
        <v>98.1</v>
      </c>
      <c r="AK226" s="11">
        <v>59440.915860000001</v>
      </c>
      <c r="AL226" s="11">
        <v>38.667655799999999</v>
      </c>
      <c r="AM226" s="11">
        <v>7886.094306</v>
      </c>
      <c r="AN226" s="11">
        <v>21.9</v>
      </c>
      <c r="AO226" s="11">
        <v>73.653000000000006</v>
      </c>
      <c r="AP226" s="19">
        <v>5.8191022200000004</v>
      </c>
    </row>
    <row r="227" spans="2:42">
      <c r="B227" t="s">
        <v>161</v>
      </c>
      <c r="C227" t="s">
        <v>162</v>
      </c>
      <c r="D227" t="s">
        <v>163</v>
      </c>
      <c r="E227" t="s">
        <v>35</v>
      </c>
      <c r="F227" t="s">
        <v>36</v>
      </c>
      <c r="G227" t="s">
        <v>37</v>
      </c>
      <c r="H227" t="s">
        <v>38</v>
      </c>
      <c r="I227" t="s">
        <v>39</v>
      </c>
      <c r="J227" t="s">
        <v>40</v>
      </c>
      <c r="K227">
        <v>2012</v>
      </c>
      <c r="L227">
        <v>0.33890474056536202</v>
      </c>
      <c r="M227" s="7">
        <v>61.516733549999998</v>
      </c>
      <c r="N227" s="7">
        <f t="shared" si="27"/>
        <v>2.9822691663661219E-3</v>
      </c>
      <c r="O227" s="8">
        <v>33.787391990000003</v>
      </c>
      <c r="P227" s="8">
        <f t="shared" si="28"/>
        <v>1.6379786690365111E-3</v>
      </c>
      <c r="Q227" s="8">
        <v>2.4236651880000002</v>
      </c>
      <c r="R227" s="8">
        <f t="shared" si="29"/>
        <v>1.1749684260937731E-4</v>
      </c>
      <c r="S227" s="8">
        <v>7.0964917600000001</v>
      </c>
      <c r="T227" s="8">
        <f t="shared" si="30"/>
        <v>3.440307595008717E-4</v>
      </c>
      <c r="U227" s="8">
        <v>6.6721453E-2</v>
      </c>
      <c r="V227" s="8">
        <f t="shared" si="31"/>
        <v>3.2345887132533937E-6</v>
      </c>
      <c r="W227" s="8">
        <v>9.4648812999999998E-2</v>
      </c>
      <c r="X227" s="8">
        <f t="shared" si="32"/>
        <v>1.5680959681597829E-10</v>
      </c>
      <c r="Y227" s="8">
        <v>1.5369854000000001E-2</v>
      </c>
      <c r="Z227" s="8">
        <f t="shared" si="33"/>
        <v>7.4511501229975512E-7</v>
      </c>
      <c r="AA227" s="8">
        <v>0.25759492899999997</v>
      </c>
      <c r="AB227" s="8">
        <f t="shared" si="34"/>
        <v>1.2487942220543508E-5</v>
      </c>
      <c r="AC227" s="8">
        <v>40.59476987</v>
      </c>
      <c r="AD227" s="18">
        <f t="shared" si="35"/>
        <v>1.9679934793779288E-3</v>
      </c>
      <c r="AE227" s="9">
        <v>61.6</v>
      </c>
      <c r="AF227" s="10">
        <v>65.900000000000006</v>
      </c>
      <c r="AG227" s="10">
        <v>12.8</v>
      </c>
      <c r="AH227" s="10">
        <v>66.400000000000006</v>
      </c>
      <c r="AI227" s="10">
        <v>54.5</v>
      </c>
      <c r="AJ227" s="10">
        <v>41.8</v>
      </c>
      <c r="AK227" s="11">
        <v>20627.49206</v>
      </c>
      <c r="AL227" s="11">
        <v>49.903200200000001</v>
      </c>
      <c r="AM227" s="11">
        <v>2749.7136810000002</v>
      </c>
      <c r="AN227" s="11">
        <v>13</v>
      </c>
      <c r="AO227" s="11">
        <v>71.974000000000004</v>
      </c>
      <c r="AP227" s="19">
        <v>1.56083222</v>
      </c>
    </row>
    <row r="228" spans="2:42">
      <c r="B228" t="s">
        <v>164</v>
      </c>
      <c r="C228" t="s">
        <v>165</v>
      </c>
      <c r="D228" t="s">
        <v>166</v>
      </c>
      <c r="E228" t="s">
        <v>35</v>
      </c>
      <c r="F228" t="s">
        <v>36</v>
      </c>
      <c r="G228" t="s">
        <v>37</v>
      </c>
      <c r="H228" t="s">
        <v>38</v>
      </c>
      <c r="I228" t="s">
        <v>39</v>
      </c>
      <c r="J228" t="s">
        <v>40</v>
      </c>
      <c r="K228">
        <v>2012</v>
      </c>
      <c r="L228">
        <v>6.4863817811307706E-2</v>
      </c>
      <c r="M228" s="7">
        <v>38.211873130000001</v>
      </c>
      <c r="N228" s="7">
        <f t="shared" si="27"/>
        <v>1.8805548995959265E-2</v>
      </c>
      <c r="O228" s="8">
        <v>16.563022400000001</v>
      </c>
      <c r="P228" s="8">
        <f t="shared" si="28"/>
        <v>8.1513075322086643E-3</v>
      </c>
      <c r="Q228" s="8">
        <v>2.8416645200000001</v>
      </c>
      <c r="R228" s="8">
        <f t="shared" si="29"/>
        <v>1.3984936351885944E-3</v>
      </c>
      <c r="S228" s="8">
        <v>3.8153807999999998</v>
      </c>
      <c r="T228" s="8">
        <f t="shared" si="30"/>
        <v>1.8776972887076645E-3</v>
      </c>
      <c r="U228" s="8">
        <v>8.0734029999999998E-2</v>
      </c>
      <c r="V228" s="8">
        <f t="shared" si="31"/>
        <v>3.973235626636357E-5</v>
      </c>
      <c r="W228" s="8">
        <v>1.5501950000000001E-3</v>
      </c>
      <c r="X228" s="8">
        <f t="shared" si="32"/>
        <v>1.9553837885675227E-8</v>
      </c>
      <c r="Y228" s="8"/>
      <c r="Z228" s="8">
        <f t="shared" si="33"/>
        <v>0</v>
      </c>
      <c r="AA228" s="8">
        <v>1.3556174000000001E-2</v>
      </c>
      <c r="AB228" s="8">
        <f t="shared" si="34"/>
        <v>6.6715204849406739E-6</v>
      </c>
      <c r="AC228" s="8">
        <v>2.6197448400000001</v>
      </c>
      <c r="AD228" s="18">
        <f t="shared" si="35"/>
        <v>1.2892783292231E-3</v>
      </c>
      <c r="AE228" s="9">
        <v>17.100000000000001</v>
      </c>
      <c r="AF228" s="10">
        <v>32.200000000000003</v>
      </c>
      <c r="AG228" s="10">
        <v>20.399999999999999</v>
      </c>
      <c r="AH228" s="10">
        <v>43.6</v>
      </c>
      <c r="AI228" s="10">
        <v>44.1</v>
      </c>
      <c r="AJ228" s="10">
        <v>31.9</v>
      </c>
      <c r="AK228" s="11">
        <v>2031.9466950000001</v>
      </c>
      <c r="AL228" s="11">
        <v>71.888091000000003</v>
      </c>
      <c r="AM228" s="11">
        <v>59.468618480000004</v>
      </c>
      <c r="AN228" s="11">
        <v>93.4</v>
      </c>
      <c r="AO228" s="11">
        <v>20.423999999999999</v>
      </c>
      <c r="AP228" s="19">
        <v>4.4143858500000004</v>
      </c>
    </row>
    <row r="229" spans="2:42">
      <c r="B229" t="s">
        <v>167</v>
      </c>
      <c r="C229" t="s">
        <v>168</v>
      </c>
      <c r="D229" t="s">
        <v>169</v>
      </c>
      <c r="E229" t="s">
        <v>35</v>
      </c>
      <c r="F229" t="s">
        <v>36</v>
      </c>
      <c r="G229" t="s">
        <v>37</v>
      </c>
      <c r="H229" t="s">
        <v>38</v>
      </c>
      <c r="I229" t="s">
        <v>39</v>
      </c>
      <c r="J229" t="s">
        <v>40</v>
      </c>
      <c r="K229">
        <v>2012</v>
      </c>
      <c r="L229">
        <v>0.37716358800542998</v>
      </c>
      <c r="M229" s="7">
        <v>47789.989690000002</v>
      </c>
      <c r="N229" s="7">
        <f t="shared" si="27"/>
        <v>5.0029749256203635</v>
      </c>
      <c r="O229" s="8">
        <v>15.53600533</v>
      </c>
      <c r="P229" s="8">
        <f t="shared" si="28"/>
        <v>1.6264126779369956E-3</v>
      </c>
      <c r="Q229" s="8">
        <v>0.69188062900000002</v>
      </c>
      <c r="R229" s="8">
        <f t="shared" si="29"/>
        <v>7.2430679748268533E-5</v>
      </c>
      <c r="S229" s="8">
        <v>52.013475749999998</v>
      </c>
      <c r="T229" s="8">
        <f t="shared" si="30"/>
        <v>5.4451176210666558E-3</v>
      </c>
      <c r="U229" s="8">
        <v>6.6727675E-2</v>
      </c>
      <c r="V229" s="8">
        <f t="shared" si="31"/>
        <v>6.9854981563178652E-6</v>
      </c>
      <c r="W229" s="8">
        <v>5.9426338000000002E-2</v>
      </c>
      <c r="X229" s="8">
        <f t="shared" si="32"/>
        <v>7.3128854694727921E-10</v>
      </c>
      <c r="Y229" s="8">
        <v>0.13631351999999999</v>
      </c>
      <c r="Z229" s="8">
        <f t="shared" si="33"/>
        <v>1.4270208614959211E-5</v>
      </c>
      <c r="AA229" s="8">
        <v>0.156900811</v>
      </c>
      <c r="AB229" s="8">
        <f t="shared" si="34"/>
        <v>1.6425423573731255E-5</v>
      </c>
      <c r="AC229" s="8">
        <v>9.8714882700000004</v>
      </c>
      <c r="AD229" s="18">
        <f t="shared" si="35"/>
        <v>1.0334132443577337E-3</v>
      </c>
      <c r="AE229" s="9">
        <v>12.3</v>
      </c>
      <c r="AF229" s="10">
        <v>32.700000000000003</v>
      </c>
      <c r="AG229" s="10">
        <v>41.7</v>
      </c>
      <c r="AH229" s="10">
        <v>31.3</v>
      </c>
      <c r="AI229" s="10">
        <v>24.4</v>
      </c>
      <c r="AJ229" s="10">
        <v>40.4</v>
      </c>
      <c r="AK229" s="11">
        <v>9552.3144530000009</v>
      </c>
      <c r="AL229" s="11">
        <v>71.285300000000007</v>
      </c>
      <c r="AM229" s="11">
        <v>3591.9670820000001</v>
      </c>
      <c r="AN229" s="11">
        <v>2.9</v>
      </c>
      <c r="AO229" s="11">
        <v>68.781999999999996</v>
      </c>
      <c r="AP229" s="19">
        <v>4.4772010900000003</v>
      </c>
    </row>
    <row r="230" spans="2:42">
      <c r="B230" t="s">
        <v>170</v>
      </c>
      <c r="C230" t="s">
        <v>171</v>
      </c>
      <c r="D230" t="s">
        <v>172</v>
      </c>
      <c r="E230" t="s">
        <v>35</v>
      </c>
      <c r="F230" t="s">
        <v>36</v>
      </c>
      <c r="G230" t="s">
        <v>37</v>
      </c>
      <c r="H230" t="s">
        <v>38</v>
      </c>
      <c r="I230" t="s">
        <v>39</v>
      </c>
      <c r="J230" t="s">
        <v>40</v>
      </c>
      <c r="K230">
        <v>2012</v>
      </c>
      <c r="L230">
        <v>0.818889769977721</v>
      </c>
      <c r="M230" s="7">
        <v>426.55463150000003</v>
      </c>
      <c r="N230" s="7">
        <f t="shared" si="27"/>
        <v>1.112656505802493E-2</v>
      </c>
      <c r="O230" s="8">
        <v>31.819015199999999</v>
      </c>
      <c r="P230" s="8">
        <f t="shared" si="28"/>
        <v>8.2999061916195398E-4</v>
      </c>
      <c r="Q230" s="8">
        <v>0.71897990899999997</v>
      </c>
      <c r="R230" s="8">
        <f t="shared" si="29"/>
        <v>1.8754401293850079E-5</v>
      </c>
      <c r="S230" s="8">
        <v>6.3624449939999996</v>
      </c>
      <c r="T230" s="8">
        <f t="shared" si="30"/>
        <v>1.6596269956066818E-4</v>
      </c>
      <c r="U230" s="8">
        <v>6.0897563000000002E-2</v>
      </c>
      <c r="V230" s="8">
        <f t="shared" si="31"/>
        <v>1.5884968689987647E-6</v>
      </c>
      <c r="W230" s="8">
        <v>0.199045256</v>
      </c>
      <c r="X230" s="8">
        <f t="shared" si="32"/>
        <v>4.1435521858549221E-11</v>
      </c>
      <c r="Y230" s="8">
        <v>6.3505523999999994E-2</v>
      </c>
      <c r="Z230" s="8">
        <f t="shared" si="33"/>
        <v>1.6565248438287406E-6</v>
      </c>
      <c r="AA230" s="8">
        <v>0.16985500100000001</v>
      </c>
      <c r="AB230" s="8">
        <f t="shared" si="34"/>
        <v>4.4306229014826431E-6</v>
      </c>
      <c r="AC230" s="8">
        <v>12.0455085</v>
      </c>
      <c r="AD230" s="18">
        <f t="shared" si="35"/>
        <v>3.1420391219510714E-4</v>
      </c>
      <c r="AE230" s="9">
        <v>92.9</v>
      </c>
      <c r="AF230" s="10">
        <v>93.4</v>
      </c>
      <c r="AG230" s="10">
        <v>59.7</v>
      </c>
      <c r="AH230" s="10">
        <v>94.8</v>
      </c>
      <c r="AI230" s="10">
        <v>94.8</v>
      </c>
      <c r="AJ230" s="10">
        <v>92.5</v>
      </c>
      <c r="AK230" s="11">
        <v>38336.59618</v>
      </c>
      <c r="AL230" s="11">
        <v>71.020543099999998</v>
      </c>
      <c r="AM230" s="11">
        <v>5456.2477440000002</v>
      </c>
      <c r="AN230" s="11">
        <v>4.2</v>
      </c>
      <c r="AO230" s="11">
        <v>81.837000000000003</v>
      </c>
      <c r="AP230" s="19">
        <v>1.7269759899999999</v>
      </c>
    </row>
    <row r="231" spans="2:42">
      <c r="B231" t="s">
        <v>173</v>
      </c>
      <c r="C231" t="s">
        <v>174</v>
      </c>
      <c r="D231" t="s">
        <v>175</v>
      </c>
      <c r="E231" t="s">
        <v>35</v>
      </c>
      <c r="F231" t="s">
        <v>36</v>
      </c>
      <c r="G231" t="s">
        <v>37</v>
      </c>
      <c r="H231" t="s">
        <v>38</v>
      </c>
      <c r="I231" t="s">
        <v>39</v>
      </c>
      <c r="J231" t="s">
        <v>40</v>
      </c>
      <c r="K231">
        <v>2012</v>
      </c>
      <c r="L231">
        <v>0</v>
      </c>
      <c r="M231" s="7">
        <v>22.058510999999999</v>
      </c>
      <c r="N231" s="7">
        <f t="shared" si="27"/>
        <v>6.6368670037583039E-3</v>
      </c>
      <c r="O231" s="8">
        <v>5.0290969309999998</v>
      </c>
      <c r="P231" s="8">
        <f t="shared" si="28"/>
        <v>1.5131323904889161E-3</v>
      </c>
      <c r="Q231" s="8">
        <v>1.516686583</v>
      </c>
      <c r="R231" s="8">
        <f t="shared" si="29"/>
        <v>4.5633393558412131E-4</v>
      </c>
      <c r="S231" s="8">
        <v>3.3371401600000001</v>
      </c>
      <c r="T231" s="8">
        <f t="shared" si="30"/>
        <v>1.0040639377164083E-3</v>
      </c>
      <c r="U231" s="8">
        <v>5.5035731999999997E-2</v>
      </c>
      <c r="V231" s="8">
        <f t="shared" si="31"/>
        <v>1.655890706940668E-5</v>
      </c>
      <c r="W231" s="14">
        <v>3.59285E-5</v>
      </c>
      <c r="X231" s="8">
        <f t="shared" si="32"/>
        <v>4.9821705530008493E-9</v>
      </c>
      <c r="Y231" s="8"/>
      <c r="Z231" s="8">
        <f t="shared" si="33"/>
        <v>0</v>
      </c>
      <c r="AA231" s="8">
        <v>9.916055E-3</v>
      </c>
      <c r="AB231" s="8">
        <f t="shared" si="34"/>
        <v>2.983498670284343E-6</v>
      </c>
      <c r="AC231" s="8">
        <v>0.66378133399999995</v>
      </c>
      <c r="AD231" s="18">
        <f t="shared" si="35"/>
        <v>1.9971558521494356E-4</v>
      </c>
      <c r="AE231" s="9">
        <v>47.9</v>
      </c>
      <c r="AF231" s="10">
        <v>38.4</v>
      </c>
      <c r="AG231" s="10">
        <v>68.2</v>
      </c>
      <c r="AH231" s="10">
        <v>35.5</v>
      </c>
      <c r="AI231" s="10">
        <v>43.7</v>
      </c>
      <c r="AJ231" s="10">
        <v>44.1</v>
      </c>
      <c r="AK231" s="11">
        <v>3323.6331220000002</v>
      </c>
      <c r="AL231" s="11">
        <v>32.0639234</v>
      </c>
      <c r="AM231" s="11">
        <v>711.36274079999998</v>
      </c>
      <c r="AN231" s="11">
        <v>85.4</v>
      </c>
      <c r="AO231" s="11">
        <v>40.353999999999999</v>
      </c>
      <c r="AP231" s="19">
        <v>6.78938124</v>
      </c>
    </row>
    <row r="232" spans="2:42">
      <c r="B232" t="s">
        <v>32</v>
      </c>
      <c r="C232" t="s">
        <v>33</v>
      </c>
      <c r="D232" t="s">
        <v>34</v>
      </c>
      <c r="E232" t="s">
        <v>35</v>
      </c>
      <c r="F232" t="s">
        <v>36</v>
      </c>
      <c r="G232" t="s">
        <v>37</v>
      </c>
      <c r="H232" t="s">
        <v>38</v>
      </c>
      <c r="I232" t="s">
        <v>39</v>
      </c>
      <c r="J232" t="s">
        <v>40</v>
      </c>
      <c r="K232">
        <v>2013</v>
      </c>
      <c r="L232">
        <v>0.95346540524032997</v>
      </c>
      <c r="M232" s="7">
        <v>609.39437720000001</v>
      </c>
      <c r="N232" s="7">
        <f t="shared" si="27"/>
        <v>1.3267648441809794E-2</v>
      </c>
      <c r="O232" s="8">
        <v>84.800453829999995</v>
      </c>
      <c r="P232" s="8">
        <f t="shared" si="28"/>
        <v>1.846263521977181E-3</v>
      </c>
      <c r="Q232" s="8">
        <v>0.49355410399999999</v>
      </c>
      <c r="R232" s="8">
        <f t="shared" si="29"/>
        <v>1.0745590349835654E-5</v>
      </c>
      <c r="S232" s="8">
        <v>51.544278159999998</v>
      </c>
      <c r="T232" s="8">
        <f t="shared" si="30"/>
        <v>1.1222147551737116E-3</v>
      </c>
      <c r="U232" s="8">
        <v>0.16638209600000001</v>
      </c>
      <c r="V232" s="8">
        <f t="shared" si="31"/>
        <v>3.6224475304191361E-6</v>
      </c>
      <c r="W232" s="8">
        <v>9.9664518999999993E-2</v>
      </c>
      <c r="X232" s="8">
        <f t="shared" si="32"/>
        <v>7.8867416784073312E-11</v>
      </c>
      <c r="Y232" s="8">
        <v>2.4472918999999999E-2</v>
      </c>
      <c r="Z232" s="8">
        <f t="shared" si="33"/>
        <v>5.3282094122493537E-7</v>
      </c>
      <c r="AA232" s="8">
        <v>0.25016420900000003</v>
      </c>
      <c r="AB232" s="8">
        <f t="shared" si="34"/>
        <v>5.4465398794549785E-6</v>
      </c>
      <c r="AC232" s="8">
        <v>13.14489994</v>
      </c>
      <c r="AD232" s="18">
        <f t="shared" si="35"/>
        <v>2.8618890776120317E-4</v>
      </c>
      <c r="AE232" s="9">
        <v>93.8</v>
      </c>
      <c r="AF232" s="10">
        <v>94.3</v>
      </c>
      <c r="AG232" s="10">
        <v>83.4</v>
      </c>
      <c r="AH232" s="10">
        <v>97.2</v>
      </c>
      <c r="AI232" s="10">
        <v>95.8</v>
      </c>
      <c r="AJ232" s="10">
        <v>94.4</v>
      </c>
      <c r="AK232" s="11">
        <v>45930.850509999997</v>
      </c>
      <c r="AL232" s="11">
        <v>48.393710200000001</v>
      </c>
      <c r="AM232" s="11">
        <v>10263.735559999999</v>
      </c>
      <c r="AN232" s="11">
        <v>9.1999999999999993</v>
      </c>
      <c r="AO232" s="11">
        <v>85.501999999999995</v>
      </c>
      <c r="AP232" s="19">
        <v>3.4539276700000001</v>
      </c>
    </row>
    <row r="233" spans="2:42">
      <c r="B233" t="s">
        <v>41</v>
      </c>
      <c r="C233" t="s">
        <v>42</v>
      </c>
      <c r="D233" t="s">
        <v>43</v>
      </c>
      <c r="E233" t="s">
        <v>35</v>
      </c>
      <c r="F233" t="s">
        <v>36</v>
      </c>
      <c r="G233" t="s">
        <v>37</v>
      </c>
      <c r="H233" t="s">
        <v>38</v>
      </c>
      <c r="I233" t="s">
        <v>39</v>
      </c>
      <c r="J233" t="s">
        <v>40</v>
      </c>
      <c r="K233">
        <v>2013</v>
      </c>
      <c r="L233">
        <v>0.44986542566427401</v>
      </c>
      <c r="M233" s="7">
        <v>84.649350080000005</v>
      </c>
      <c r="N233" s="7">
        <f t="shared" si="27"/>
        <v>1.781347079557883E-3</v>
      </c>
      <c r="O233" s="8">
        <v>5.4509005190000002</v>
      </c>
      <c r="P233" s="8">
        <f t="shared" si="28"/>
        <v>1.1470785908343737E-4</v>
      </c>
      <c r="Q233" s="8">
        <v>0.75816203900000001</v>
      </c>
      <c r="R233" s="8">
        <f t="shared" si="29"/>
        <v>1.5954637959156551E-5</v>
      </c>
      <c r="S233" s="8">
        <v>0.75556981400000001</v>
      </c>
      <c r="T233" s="8">
        <f t="shared" si="30"/>
        <v>1.5900087600188137E-5</v>
      </c>
      <c r="U233" s="8">
        <v>6.0204145000000001E-2</v>
      </c>
      <c r="V233" s="8">
        <f t="shared" si="31"/>
        <v>1.2669261816148054E-6</v>
      </c>
      <c r="W233" s="8">
        <v>8.7486997999999996E-2</v>
      </c>
      <c r="X233" s="8">
        <f t="shared" si="32"/>
        <v>2.6660987373229382E-11</v>
      </c>
      <c r="Y233" s="8">
        <v>1.9049152999999999E-2</v>
      </c>
      <c r="Z233" s="8">
        <f t="shared" si="33"/>
        <v>4.0086726044006128E-7</v>
      </c>
      <c r="AA233" s="8">
        <v>3.1316797E-2</v>
      </c>
      <c r="AB233" s="8">
        <f t="shared" si="34"/>
        <v>6.5902555452977518E-7</v>
      </c>
      <c r="AC233" s="8">
        <v>2.3681431260000001</v>
      </c>
      <c r="AD233" s="18">
        <f t="shared" si="35"/>
        <v>4.9834816658230574E-5</v>
      </c>
      <c r="AE233" s="9">
        <v>90.5</v>
      </c>
      <c r="AF233" s="10">
        <v>92.9</v>
      </c>
      <c r="AG233" s="10">
        <v>96.2</v>
      </c>
      <c r="AH233" s="10">
        <v>91.5</v>
      </c>
      <c r="AI233" s="10">
        <v>97.7</v>
      </c>
      <c r="AJ233" s="10">
        <v>95.8</v>
      </c>
      <c r="AK233" s="11">
        <v>47519.852279999999</v>
      </c>
      <c r="AL233" s="11">
        <v>32.918080500000002</v>
      </c>
      <c r="AM233" s="11">
        <v>8501.2387639999997</v>
      </c>
      <c r="AN233" s="11">
        <v>34.6</v>
      </c>
      <c r="AO233" s="11">
        <v>57.335999999999999</v>
      </c>
      <c r="AP233" s="19">
        <v>-0.3026335</v>
      </c>
    </row>
    <row r="234" spans="2:42">
      <c r="B234" t="s">
        <v>44</v>
      </c>
      <c r="C234" t="s">
        <v>45</v>
      </c>
      <c r="D234" t="s">
        <v>46</v>
      </c>
      <c r="E234" t="s">
        <v>35</v>
      </c>
      <c r="F234" t="s">
        <v>36</v>
      </c>
      <c r="G234" t="s">
        <v>37</v>
      </c>
      <c r="H234" t="s">
        <v>38</v>
      </c>
      <c r="I234" t="s">
        <v>39</v>
      </c>
      <c r="J234" t="s">
        <v>40</v>
      </c>
      <c r="K234">
        <v>2013</v>
      </c>
      <c r="L234">
        <v>2.4406173730707099E-2</v>
      </c>
      <c r="M234" s="7">
        <v>51.689056600000001</v>
      </c>
      <c r="N234" s="7">
        <f t="shared" si="27"/>
        <v>2.9934281747872591E-3</v>
      </c>
      <c r="O234" s="8">
        <v>7.670643868</v>
      </c>
      <c r="P234" s="8">
        <f t="shared" si="28"/>
        <v>4.4422403857977014E-4</v>
      </c>
      <c r="Q234" s="8">
        <v>4.7768616E-2</v>
      </c>
      <c r="R234" s="8">
        <f t="shared" si="29"/>
        <v>2.7663867443267181E-6</v>
      </c>
      <c r="S234" s="8">
        <v>5.0128157199999999</v>
      </c>
      <c r="T234" s="8">
        <f t="shared" si="30"/>
        <v>2.9030330205841832E-4</v>
      </c>
      <c r="U234" s="8">
        <v>1.3243059999999999E-3</v>
      </c>
      <c r="V234" s="8">
        <f t="shared" si="31"/>
        <v>7.6693504451381607E-8</v>
      </c>
      <c r="W234" s="8">
        <v>1.4716762E-2</v>
      </c>
      <c r="X234" s="8">
        <f t="shared" si="32"/>
        <v>4.4414913358650418E-12</v>
      </c>
      <c r="Y234" s="8">
        <v>4.0942700000000002E-4</v>
      </c>
      <c r="Z234" s="8">
        <f t="shared" si="33"/>
        <v>2.3710827744506042E-8</v>
      </c>
      <c r="AA234" s="8">
        <v>3.8568950999999997E-2</v>
      </c>
      <c r="AB234" s="8">
        <f t="shared" si="34"/>
        <v>2.2336136929105653E-6</v>
      </c>
      <c r="AC234" s="8">
        <v>2.6100823709999998</v>
      </c>
      <c r="AD234" s="18">
        <f t="shared" si="35"/>
        <v>1.5115567243428722E-4</v>
      </c>
      <c r="AE234" s="9">
        <v>16.600000000000001</v>
      </c>
      <c r="AF234" s="10">
        <v>38.9</v>
      </c>
      <c r="AG234" s="10">
        <v>33.6</v>
      </c>
      <c r="AH234" s="10">
        <v>36.5</v>
      </c>
      <c r="AI234" s="10">
        <v>26.3</v>
      </c>
      <c r="AJ234" s="10">
        <v>9.4</v>
      </c>
      <c r="AK234" s="11">
        <v>17267.511890000002</v>
      </c>
      <c r="AL234" s="11">
        <v>57.704545199999998</v>
      </c>
      <c r="AM234" s="11">
        <v>2092.536521</v>
      </c>
      <c r="AN234" s="11">
        <v>2.5</v>
      </c>
      <c r="AO234" s="11">
        <v>54.145000000000003</v>
      </c>
      <c r="AP234" s="19">
        <v>3.5321159899999999</v>
      </c>
    </row>
    <row r="235" spans="2:42">
      <c r="B235" t="s">
        <v>47</v>
      </c>
      <c r="C235" t="s">
        <v>48</v>
      </c>
      <c r="D235" t="s">
        <v>49</v>
      </c>
      <c r="E235" t="s">
        <v>35</v>
      </c>
      <c r="F235" t="s">
        <v>36</v>
      </c>
      <c r="G235" t="s">
        <v>37</v>
      </c>
      <c r="H235" t="s">
        <v>38</v>
      </c>
      <c r="I235" t="s">
        <v>39</v>
      </c>
      <c r="J235" t="s">
        <v>40</v>
      </c>
      <c r="K235">
        <v>2013</v>
      </c>
      <c r="L235">
        <v>1.5421248218285499</v>
      </c>
      <c r="M235" s="7">
        <v>3.1229373000000001E-2</v>
      </c>
      <c r="N235" s="7">
        <f t="shared" si="27"/>
        <v>7.1195712352095536E-7</v>
      </c>
      <c r="O235" s="8">
        <v>6.9796590820000004</v>
      </c>
      <c r="P235" s="8">
        <f t="shared" si="28"/>
        <v>1.5912000548898731E-4</v>
      </c>
      <c r="Q235" s="8">
        <v>0.34181938099999998</v>
      </c>
      <c r="R235" s="8">
        <f t="shared" si="29"/>
        <v>7.7926874567886294E-6</v>
      </c>
      <c r="S235" s="8">
        <v>2.5360923990000002</v>
      </c>
      <c r="T235" s="8">
        <f t="shared" si="30"/>
        <v>5.7817012508557218E-5</v>
      </c>
      <c r="U235" s="8">
        <v>4.7586990000000003E-2</v>
      </c>
      <c r="V235" s="8">
        <f t="shared" si="31"/>
        <v>1.0848727740201658E-6</v>
      </c>
      <c r="W235" s="8">
        <v>7.0569363999999996E-2</v>
      </c>
      <c r="X235" s="8">
        <f t="shared" si="32"/>
        <v>2.4732577870762781E-11</v>
      </c>
      <c r="Y235" s="8">
        <v>6.2016374999999999E-2</v>
      </c>
      <c r="Z235" s="8">
        <f t="shared" si="33"/>
        <v>1.4138292163661719E-6</v>
      </c>
      <c r="AA235" s="8">
        <v>2.945045E-2</v>
      </c>
      <c r="AB235" s="8">
        <f t="shared" si="34"/>
        <v>6.7140181355538961E-7</v>
      </c>
      <c r="AC235" s="8">
        <v>2.5052050939999999</v>
      </c>
      <c r="AD235" s="18">
        <f t="shared" si="35"/>
        <v>5.7112853740428428E-5</v>
      </c>
      <c r="AE235" s="9">
        <v>91</v>
      </c>
      <c r="AF235" s="10">
        <v>94.8</v>
      </c>
      <c r="AG235" s="10">
        <v>77.7</v>
      </c>
      <c r="AH235" s="10">
        <v>87.7</v>
      </c>
      <c r="AI235" s="10">
        <v>90.1</v>
      </c>
      <c r="AJ235" s="10">
        <v>93</v>
      </c>
      <c r="AK235" s="11">
        <v>43864.120419999999</v>
      </c>
      <c r="AL235" s="11">
        <v>44.060923799999998</v>
      </c>
      <c r="AM235" s="11">
        <v>7991.4640630000004</v>
      </c>
      <c r="AN235" s="11">
        <v>8.3000000000000007</v>
      </c>
      <c r="AO235" s="11">
        <v>97.789000000000001</v>
      </c>
      <c r="AP235" s="19">
        <v>-5.6556177999999999</v>
      </c>
    </row>
    <row r="236" spans="2:42">
      <c r="B236" t="s">
        <v>50</v>
      </c>
      <c r="C236" t="s">
        <v>51</v>
      </c>
      <c r="D236" t="s">
        <v>52</v>
      </c>
      <c r="E236" t="s">
        <v>35</v>
      </c>
      <c r="F236" t="s">
        <v>36</v>
      </c>
      <c r="G236" t="s">
        <v>37</v>
      </c>
      <c r="H236" t="s">
        <v>38</v>
      </c>
      <c r="I236" t="s">
        <v>39</v>
      </c>
      <c r="J236" t="s">
        <v>40</v>
      </c>
      <c r="K236">
        <v>2013</v>
      </c>
      <c r="L236">
        <v>0.94206815948382505</v>
      </c>
      <c r="M236" s="7">
        <v>212.9414688</v>
      </c>
      <c r="N236" s="7">
        <f t="shared" si="27"/>
        <v>1.260469867215068E-2</v>
      </c>
      <c r="O236" s="8">
        <v>2.0290524429999999</v>
      </c>
      <c r="P236" s="8">
        <f t="shared" si="28"/>
        <v>1.2010621875642003E-4</v>
      </c>
      <c r="Q236" s="8">
        <v>0.34563875799999999</v>
      </c>
      <c r="R236" s="8">
        <f t="shared" si="29"/>
        <v>2.0459483155431348E-5</v>
      </c>
      <c r="S236" s="8">
        <v>1.017163721</v>
      </c>
      <c r="T236" s="8">
        <f t="shared" si="30"/>
        <v>6.0209231558792295E-5</v>
      </c>
      <c r="U236" s="8">
        <v>1.2955546E-2</v>
      </c>
      <c r="V236" s="8">
        <f t="shared" si="31"/>
        <v>7.6688093861399651E-7</v>
      </c>
      <c r="W236" s="8">
        <v>8.5396970000000006E-3</v>
      </c>
      <c r="X236" s="8">
        <f t="shared" si="32"/>
        <v>4.5394178987862365E-11</v>
      </c>
      <c r="Y236" s="8">
        <v>7.2973939999999996E-3</v>
      </c>
      <c r="Z236" s="8">
        <f t="shared" si="33"/>
        <v>4.3195650419952553E-7</v>
      </c>
      <c r="AA236" s="8">
        <v>4.3422211000000002E-2</v>
      </c>
      <c r="AB236" s="8">
        <f t="shared" si="34"/>
        <v>2.5703020103031557E-6</v>
      </c>
      <c r="AC236" s="8">
        <v>5.5241063910000001</v>
      </c>
      <c r="AD236" s="18">
        <f t="shared" si="35"/>
        <v>3.2698983849338786E-4</v>
      </c>
      <c r="AE236" s="9">
        <v>46</v>
      </c>
      <c r="AF236" s="10">
        <v>55</v>
      </c>
      <c r="AG236" s="10">
        <v>53.1</v>
      </c>
      <c r="AH236" s="10">
        <v>67.8</v>
      </c>
      <c r="AI236" s="10">
        <v>50.7</v>
      </c>
      <c r="AJ236" s="10">
        <v>58.2</v>
      </c>
      <c r="AK236" s="11">
        <v>16893.81669</v>
      </c>
      <c r="AL236" s="11">
        <v>46.0114223</v>
      </c>
      <c r="AM236" s="11">
        <v>4712.1475469999996</v>
      </c>
      <c r="AN236" s="11">
        <v>18.2</v>
      </c>
      <c r="AO236" s="11">
        <v>73.313000000000002</v>
      </c>
      <c r="AP236" s="19">
        <v>3.5633577299999999</v>
      </c>
    </row>
    <row r="237" spans="2:42">
      <c r="B237" t="s">
        <v>53</v>
      </c>
      <c r="C237" t="s">
        <v>54</v>
      </c>
      <c r="D237" t="s">
        <v>55</v>
      </c>
      <c r="E237" t="s">
        <v>35</v>
      </c>
      <c r="F237" t="s">
        <v>36</v>
      </c>
      <c r="G237" t="s">
        <v>37</v>
      </c>
      <c r="H237" t="s">
        <v>38</v>
      </c>
      <c r="I237" t="s">
        <v>39</v>
      </c>
      <c r="J237" t="s">
        <v>40</v>
      </c>
      <c r="K237">
        <v>2013</v>
      </c>
      <c r="L237">
        <v>0.59466515126584496</v>
      </c>
      <c r="M237" s="7">
        <v>11.42767055</v>
      </c>
      <c r="N237" s="7">
        <f t="shared" si="27"/>
        <v>2.5795481005038112E-4</v>
      </c>
      <c r="O237" s="8">
        <v>30.91160983</v>
      </c>
      <c r="P237" s="8">
        <f t="shared" si="28"/>
        <v>6.9776236610611287E-4</v>
      </c>
      <c r="Q237" s="8">
        <v>1.093255235</v>
      </c>
      <c r="R237" s="8">
        <f t="shared" si="29"/>
        <v>2.4677859345622261E-5</v>
      </c>
      <c r="S237" s="8">
        <v>74.731496410000005</v>
      </c>
      <c r="T237" s="8">
        <f t="shared" si="30"/>
        <v>1.6869010072417857E-3</v>
      </c>
      <c r="U237" s="8">
        <v>0.28537042899999998</v>
      </c>
      <c r="V237" s="8">
        <f t="shared" si="31"/>
        <v>6.4416168181091615E-6</v>
      </c>
      <c r="W237" s="8">
        <v>0.14465519099999999</v>
      </c>
      <c r="X237" s="8">
        <f t="shared" si="32"/>
        <v>1.4540549059954212E-10</v>
      </c>
      <c r="Y237" s="8">
        <v>0.14239617800000001</v>
      </c>
      <c r="Z237" s="8">
        <f t="shared" si="33"/>
        <v>3.2142840386565278E-6</v>
      </c>
      <c r="AA237" s="8">
        <v>0.69010640099999998</v>
      </c>
      <c r="AB237" s="8">
        <f t="shared" si="34"/>
        <v>1.5577651176206435E-5</v>
      </c>
      <c r="AC237" s="8">
        <v>17.995121229999999</v>
      </c>
      <c r="AD237" s="18">
        <f t="shared" si="35"/>
        <v>4.0620072642173169E-4</v>
      </c>
      <c r="AE237" s="9">
        <v>95.3</v>
      </c>
      <c r="AF237" s="10">
        <v>96.7</v>
      </c>
      <c r="AG237" s="10">
        <v>86.7</v>
      </c>
      <c r="AH237" s="10">
        <v>95.3</v>
      </c>
      <c r="AI237" s="10">
        <v>95.3</v>
      </c>
      <c r="AJ237" s="10">
        <v>95.3</v>
      </c>
      <c r="AK237" s="11">
        <v>44301.056250000001</v>
      </c>
      <c r="AL237" s="11">
        <v>6.4515553399999996</v>
      </c>
      <c r="AM237" s="11">
        <v>16517.092789999999</v>
      </c>
      <c r="AN237" s="11">
        <v>22.2</v>
      </c>
      <c r="AO237" s="11">
        <v>81.177999999999997</v>
      </c>
      <c r="AP237" s="19">
        <v>3.6298039800000002</v>
      </c>
    </row>
    <row r="238" spans="2:42">
      <c r="B238" t="s">
        <v>56</v>
      </c>
      <c r="C238" t="s">
        <v>57</v>
      </c>
      <c r="D238" t="s">
        <v>58</v>
      </c>
      <c r="E238" t="s">
        <v>35</v>
      </c>
      <c r="F238" t="s">
        <v>36</v>
      </c>
      <c r="G238" t="s">
        <v>37</v>
      </c>
      <c r="H238" t="s">
        <v>38</v>
      </c>
      <c r="I238" t="s">
        <v>39</v>
      </c>
      <c r="J238" t="s">
        <v>40</v>
      </c>
      <c r="K238">
        <v>2013</v>
      </c>
      <c r="L238">
        <v>8.3053546248719398E-2</v>
      </c>
      <c r="M238" s="7">
        <v>748.42156050000006</v>
      </c>
      <c r="N238" s="7">
        <f t="shared" si="27"/>
        <v>3.3711064060627786E-2</v>
      </c>
      <c r="O238" s="8">
        <v>7.1281906519999998</v>
      </c>
      <c r="P238" s="8">
        <f t="shared" si="28"/>
        <v>3.2107425064746E-4</v>
      </c>
      <c r="Q238" s="8">
        <v>1.306421168</v>
      </c>
      <c r="R238" s="8">
        <f t="shared" si="29"/>
        <v>5.8844974555764648E-5</v>
      </c>
      <c r="S238" s="8">
        <v>2.579403943</v>
      </c>
      <c r="T238" s="8">
        <f t="shared" si="30"/>
        <v>1.1618378752025397E-4</v>
      </c>
      <c r="U238" s="8">
        <v>8.9822190999999996E-2</v>
      </c>
      <c r="V238" s="8">
        <f t="shared" si="31"/>
        <v>4.0458503531672969E-6</v>
      </c>
      <c r="W238" s="8">
        <v>0.16607237999999999</v>
      </c>
      <c r="X238" s="8">
        <f t="shared" si="32"/>
        <v>1.8223676018127795E-10</v>
      </c>
      <c r="Y238" s="8">
        <v>1.1374156E-2</v>
      </c>
      <c r="Z238" s="8">
        <f t="shared" si="33"/>
        <v>5.1232476693404113E-7</v>
      </c>
      <c r="AA238" s="8">
        <v>6.7158371999999994E-2</v>
      </c>
      <c r="AB238" s="8">
        <f t="shared" si="34"/>
        <v>3.0250066275308371E-6</v>
      </c>
      <c r="AC238" s="8">
        <v>11.06773081</v>
      </c>
      <c r="AD238" s="18">
        <f t="shared" si="35"/>
        <v>4.9852249324890195E-4</v>
      </c>
      <c r="AE238" s="9">
        <v>90</v>
      </c>
      <c r="AF238" s="10">
        <v>82.5</v>
      </c>
      <c r="AG238" s="10">
        <v>59.7</v>
      </c>
      <c r="AH238" s="10">
        <v>91.9</v>
      </c>
      <c r="AI238" s="10">
        <v>86.9</v>
      </c>
      <c r="AJ238" s="10">
        <v>84.5</v>
      </c>
      <c r="AK238" s="11">
        <v>22201.066070000001</v>
      </c>
      <c r="AL238" s="11">
        <v>18.448229099999999</v>
      </c>
      <c r="AM238" s="11">
        <v>3854.5246149999998</v>
      </c>
      <c r="AN238" s="11">
        <v>30.2</v>
      </c>
      <c r="AO238" s="11">
        <v>87.245999999999995</v>
      </c>
      <c r="AP238" s="19">
        <v>7.6139639900000002</v>
      </c>
    </row>
    <row r="239" spans="2:42">
      <c r="B239" t="s">
        <v>59</v>
      </c>
      <c r="C239" t="s">
        <v>60</v>
      </c>
      <c r="D239" t="s">
        <v>61</v>
      </c>
      <c r="E239" t="s">
        <v>35</v>
      </c>
      <c r="F239" t="s">
        <v>36</v>
      </c>
      <c r="G239" t="s">
        <v>37</v>
      </c>
      <c r="H239" t="s">
        <v>38</v>
      </c>
      <c r="I239" t="s">
        <v>39</v>
      </c>
      <c r="J239" t="s">
        <v>40</v>
      </c>
      <c r="K239">
        <v>2013</v>
      </c>
      <c r="L239">
        <v>8.4984000833444998E-2</v>
      </c>
      <c r="M239" s="7">
        <v>0.242032253</v>
      </c>
      <c r="N239" s="7">
        <f t="shared" si="27"/>
        <v>1.0789482320277138E-5</v>
      </c>
      <c r="O239" s="8">
        <v>1.527061233</v>
      </c>
      <c r="P239" s="8">
        <f t="shared" si="28"/>
        <v>6.8074399057195517E-5</v>
      </c>
      <c r="Q239" s="8">
        <v>0.413137435</v>
      </c>
      <c r="R239" s="8">
        <f t="shared" si="29"/>
        <v>1.8417128277433113E-5</v>
      </c>
      <c r="S239" s="8">
        <v>0.32668545500000001</v>
      </c>
      <c r="T239" s="8">
        <f t="shared" si="30"/>
        <v>1.4563211709698017E-5</v>
      </c>
      <c r="U239" s="8">
        <v>4.5069130000000004E-3</v>
      </c>
      <c r="V239" s="8">
        <f t="shared" si="31"/>
        <v>2.0091230623105096E-7</v>
      </c>
      <c r="W239" s="8">
        <v>4.2098140000000001E-3</v>
      </c>
      <c r="X239" s="8">
        <f t="shared" si="32"/>
        <v>8.9564086981664833E-12</v>
      </c>
      <c r="Y239" s="8">
        <v>1.376742E-3</v>
      </c>
      <c r="Z239" s="8">
        <f t="shared" si="33"/>
        <v>6.1373363609448315E-8</v>
      </c>
      <c r="AA239" s="8">
        <v>1.4022669999999999E-2</v>
      </c>
      <c r="AB239" s="8">
        <f t="shared" si="34"/>
        <v>6.2511234834508033E-7</v>
      </c>
      <c r="AC239" s="8">
        <v>1.407182347</v>
      </c>
      <c r="AD239" s="18">
        <f t="shared" si="35"/>
        <v>6.2730354596015722E-5</v>
      </c>
      <c r="AE239" s="9">
        <v>61.1</v>
      </c>
      <c r="AF239" s="10">
        <v>71.099999999999994</v>
      </c>
      <c r="AG239" s="10">
        <v>66.400000000000006</v>
      </c>
      <c r="AH239" s="10">
        <v>64</v>
      </c>
      <c r="AI239" s="10">
        <v>58.2</v>
      </c>
      <c r="AJ239" s="10">
        <v>64.3</v>
      </c>
      <c r="AK239" s="11">
        <v>22432.23964</v>
      </c>
      <c r="AL239" s="11">
        <v>28.0055035</v>
      </c>
      <c r="AM239" s="11">
        <v>3773.5697540000001</v>
      </c>
      <c r="AN239" s="11">
        <v>32.799999999999997</v>
      </c>
      <c r="AO239" s="11">
        <v>55.706000000000003</v>
      </c>
      <c r="AP239" s="19">
        <v>1.5937762499999999</v>
      </c>
    </row>
    <row r="240" spans="2:42">
      <c r="B240" t="s">
        <v>62</v>
      </c>
      <c r="C240" t="s">
        <v>63</v>
      </c>
      <c r="D240" t="s">
        <v>64</v>
      </c>
      <c r="E240" t="s">
        <v>35</v>
      </c>
      <c r="F240" t="s">
        <v>36</v>
      </c>
      <c r="G240" t="s">
        <v>37</v>
      </c>
      <c r="H240" t="s">
        <v>38</v>
      </c>
      <c r="I240" t="s">
        <v>39</v>
      </c>
      <c r="J240" t="s">
        <v>40</v>
      </c>
      <c r="K240">
        <v>2013</v>
      </c>
      <c r="L240">
        <v>0.24453039472294899</v>
      </c>
      <c r="M240" s="7">
        <v>7.8916398970000001</v>
      </c>
      <c r="N240" s="7">
        <f t="shared" si="27"/>
        <v>2.5915221221663897E-4</v>
      </c>
      <c r="O240" s="8">
        <v>0.35189164299999998</v>
      </c>
      <c r="P240" s="8">
        <f t="shared" si="28"/>
        <v>1.1555709451297301E-5</v>
      </c>
      <c r="Q240" s="8">
        <v>6.1052959999999996E-3</v>
      </c>
      <c r="R240" s="8">
        <f t="shared" si="29"/>
        <v>2.0049077064943996E-7</v>
      </c>
      <c r="S240" s="8">
        <v>2.8464699999999998E-3</v>
      </c>
      <c r="T240" s="8">
        <f t="shared" si="30"/>
        <v>9.3474741262423865E-8</v>
      </c>
      <c r="U240" s="8">
        <v>6.7591299999999999E-4</v>
      </c>
      <c r="V240" s="8">
        <f t="shared" si="31"/>
        <v>2.2196191349604495E-8</v>
      </c>
      <c r="W240" s="8">
        <v>1.893098E-3</v>
      </c>
      <c r="X240" s="8">
        <f t="shared" si="32"/>
        <v>7.2889692967624143E-13</v>
      </c>
      <c r="Y240" s="8"/>
      <c r="Z240" s="8">
        <f t="shared" si="33"/>
        <v>0</v>
      </c>
      <c r="AA240" s="8">
        <v>4.2768199999999998E-3</v>
      </c>
      <c r="AB240" s="8">
        <f t="shared" si="34"/>
        <v>1.4044576016116791E-7</v>
      </c>
      <c r="AC240" s="8">
        <v>0.57099239700000004</v>
      </c>
      <c r="AD240" s="18">
        <f t="shared" si="35"/>
        <v>1.8750721620950235E-5</v>
      </c>
      <c r="AE240" s="9">
        <v>84.4</v>
      </c>
      <c r="AF240" s="10">
        <v>88.2</v>
      </c>
      <c r="AG240" s="10">
        <v>64.900000000000006</v>
      </c>
      <c r="AH240" s="10">
        <v>78.2</v>
      </c>
      <c r="AI240" s="10">
        <v>82.6</v>
      </c>
      <c r="AJ240" s="10">
        <v>77.5</v>
      </c>
      <c r="AK240" s="11">
        <v>30451.755860000001</v>
      </c>
      <c r="AL240" s="11">
        <v>11.778138500000001</v>
      </c>
      <c r="AM240" s="11">
        <v>3466.5236359999999</v>
      </c>
      <c r="AN240" s="11">
        <v>9.6999999999999993</v>
      </c>
      <c r="AO240" s="11">
        <v>67.137</v>
      </c>
      <c r="AP240" s="19">
        <v>108.090316</v>
      </c>
    </row>
    <row r="241" spans="2:42">
      <c r="B241" t="s">
        <v>65</v>
      </c>
      <c r="C241" t="s">
        <v>66</v>
      </c>
      <c r="D241" t="s">
        <v>67</v>
      </c>
      <c r="E241" t="s">
        <v>35</v>
      </c>
      <c r="F241" t="s">
        <v>36</v>
      </c>
      <c r="G241" t="s">
        <v>37</v>
      </c>
      <c r="H241" t="s">
        <v>38</v>
      </c>
      <c r="I241" t="s">
        <v>39</v>
      </c>
      <c r="J241" t="s">
        <v>40</v>
      </c>
      <c r="K241">
        <v>2013</v>
      </c>
      <c r="L241">
        <v>1.0041008387783099</v>
      </c>
      <c r="M241" s="7">
        <v>7.8916398970000001</v>
      </c>
      <c r="N241" s="7">
        <f t="shared" si="27"/>
        <v>2.5446225091116435E-4</v>
      </c>
      <c r="O241" s="8">
        <v>5.0300827899999998</v>
      </c>
      <c r="P241" s="8">
        <f t="shared" si="28"/>
        <v>1.6219267550455357E-4</v>
      </c>
      <c r="Q241" s="8">
        <v>0.98448070899999995</v>
      </c>
      <c r="R241" s="8">
        <f t="shared" si="29"/>
        <v>3.1744121685784387E-5</v>
      </c>
      <c r="S241" s="8">
        <v>3.4609251560000001</v>
      </c>
      <c r="T241" s="8">
        <f t="shared" si="30"/>
        <v>1.1159591883628907E-4</v>
      </c>
      <c r="U241" s="8">
        <v>3.1535816000000001E-2</v>
      </c>
      <c r="V241" s="8">
        <f t="shared" si="31"/>
        <v>1.0168576909763565E-6</v>
      </c>
      <c r="W241" s="8">
        <v>4.1195447000000003E-2</v>
      </c>
      <c r="X241" s="8">
        <f t="shared" si="32"/>
        <v>3.2788102381678254E-11</v>
      </c>
      <c r="Y241" s="8">
        <v>1.5678491999999999E-2</v>
      </c>
      <c r="Z241" s="8">
        <f t="shared" si="33"/>
        <v>5.0554566823675262E-7</v>
      </c>
      <c r="AA241" s="8">
        <v>3.9689557E-2</v>
      </c>
      <c r="AB241" s="8">
        <f t="shared" si="34"/>
        <v>1.2797712698125357E-6</v>
      </c>
      <c r="AC241" s="8">
        <v>4.9540417479999999</v>
      </c>
      <c r="AD241" s="18">
        <f t="shared" si="35"/>
        <v>1.5974076754100012E-4</v>
      </c>
      <c r="AE241" s="9">
        <v>65.400000000000006</v>
      </c>
      <c r="AF241" s="10">
        <v>76.3</v>
      </c>
      <c r="AG241" s="10">
        <v>87.7</v>
      </c>
      <c r="AH241" s="10">
        <v>81</v>
      </c>
      <c r="AI241" s="10">
        <v>81.7</v>
      </c>
      <c r="AJ241" s="10">
        <v>77.900000000000006</v>
      </c>
      <c r="AK241" s="11">
        <v>31013.008290000002</v>
      </c>
      <c r="AL241" s="11">
        <v>45.5969956</v>
      </c>
      <c r="AM241" s="11">
        <v>6270.3342659999998</v>
      </c>
      <c r="AN241" s="11">
        <v>13.9</v>
      </c>
      <c r="AO241" s="11">
        <v>73.290000000000006</v>
      </c>
      <c r="AP241" s="19">
        <v>3.45386726</v>
      </c>
    </row>
    <row r="242" spans="2:42">
      <c r="B242" t="s">
        <v>68</v>
      </c>
      <c r="C242" t="s">
        <v>69</v>
      </c>
      <c r="D242" t="s">
        <v>70</v>
      </c>
      <c r="E242" t="s">
        <v>35</v>
      </c>
      <c r="F242" t="s">
        <v>36</v>
      </c>
      <c r="G242" t="s">
        <v>37</v>
      </c>
      <c r="H242" t="s">
        <v>38</v>
      </c>
      <c r="I242" t="s">
        <v>39</v>
      </c>
      <c r="J242" t="s">
        <v>40</v>
      </c>
      <c r="K242">
        <v>2013</v>
      </c>
      <c r="L242">
        <v>0.47313617771264299</v>
      </c>
      <c r="M242" s="7">
        <v>748.42156050000006</v>
      </c>
      <c r="N242" s="7">
        <f t="shared" si="27"/>
        <v>1.5968304721380451E-2</v>
      </c>
      <c r="O242" s="8">
        <v>6.8395295239999996</v>
      </c>
      <c r="P242" s="8">
        <f t="shared" si="28"/>
        <v>1.4592804023062371E-4</v>
      </c>
      <c r="Q242" s="8">
        <v>0.35256763200000002</v>
      </c>
      <c r="R242" s="8">
        <f t="shared" si="29"/>
        <v>7.5223746612942826E-6</v>
      </c>
      <c r="S242" s="8">
        <v>0.39959972700000002</v>
      </c>
      <c r="T242" s="8">
        <f t="shared" si="30"/>
        <v>8.5258503283276791E-6</v>
      </c>
      <c r="U242" s="8">
        <v>8.2032500000000005E-3</v>
      </c>
      <c r="V242" s="8">
        <f t="shared" si="31"/>
        <v>1.7502434806681948E-7</v>
      </c>
      <c r="W242" s="8">
        <v>8.4679197999999997E-2</v>
      </c>
      <c r="X242" s="8">
        <f t="shared" si="32"/>
        <v>3.7343153525999049E-12</v>
      </c>
      <c r="Y242" s="13">
        <v>2.4191999999999999E-7</v>
      </c>
      <c r="Z242" s="8">
        <f t="shared" si="33"/>
        <v>5.1615994007649359E-12</v>
      </c>
      <c r="AA242" s="8">
        <v>1.7485789000000002E-2</v>
      </c>
      <c r="AB242" s="8">
        <f t="shared" si="34"/>
        <v>3.7307638072214837E-7</v>
      </c>
      <c r="AC242" s="8">
        <v>1.8886690589999999</v>
      </c>
      <c r="AD242" s="18">
        <f t="shared" si="35"/>
        <v>4.0296598392764865E-5</v>
      </c>
      <c r="AE242" s="9">
        <v>100</v>
      </c>
      <c r="AF242" s="10">
        <v>99.1</v>
      </c>
      <c r="AG242" s="10">
        <v>80.099999999999994</v>
      </c>
      <c r="AH242" s="10">
        <v>97.6</v>
      </c>
      <c r="AI242" s="10">
        <v>98.6</v>
      </c>
      <c r="AJ242" s="10">
        <v>99.5</v>
      </c>
      <c r="AK242" s="11">
        <v>46869.193290000003</v>
      </c>
      <c r="AL242" s="11">
        <v>65.7</v>
      </c>
      <c r="AM242" s="11">
        <v>6039.2539040000001</v>
      </c>
      <c r="AN242" s="11">
        <v>27</v>
      </c>
      <c r="AO242" s="11">
        <v>87.292000000000002</v>
      </c>
      <c r="AP242" s="19">
        <v>0.19741083000000001</v>
      </c>
    </row>
    <row r="243" spans="2:42">
      <c r="B243" t="s">
        <v>71</v>
      </c>
      <c r="C243" t="s">
        <v>72</v>
      </c>
      <c r="D243" t="s">
        <v>73</v>
      </c>
      <c r="E243" t="s">
        <v>35</v>
      </c>
      <c r="F243" t="s">
        <v>36</v>
      </c>
      <c r="G243" t="s">
        <v>37</v>
      </c>
      <c r="H243" t="s">
        <v>38</v>
      </c>
      <c r="I243" t="s">
        <v>39</v>
      </c>
      <c r="J243" t="s">
        <v>40</v>
      </c>
      <c r="K243">
        <v>2013</v>
      </c>
      <c r="L243">
        <v>0.134600750667486</v>
      </c>
      <c r="M243" s="7">
        <v>310.85154130000001</v>
      </c>
      <c r="N243" s="7">
        <f t="shared" si="27"/>
        <v>4.3827657614652141E-2</v>
      </c>
      <c r="O243" s="8">
        <v>1.676114375</v>
      </c>
      <c r="P243" s="8">
        <f t="shared" si="28"/>
        <v>2.3631913370376673E-4</v>
      </c>
      <c r="Q243" s="8">
        <v>0.108419184</v>
      </c>
      <c r="R243" s="8">
        <f t="shared" si="29"/>
        <v>1.5286264482845502E-5</v>
      </c>
      <c r="S243" s="8">
        <v>2.2947348999999999E-2</v>
      </c>
      <c r="T243" s="8">
        <f t="shared" si="30"/>
        <v>3.2353983220733353E-6</v>
      </c>
      <c r="U243" s="8">
        <v>1.559855E-3</v>
      </c>
      <c r="V243" s="8">
        <f t="shared" si="31"/>
        <v>2.1992746306676657E-7</v>
      </c>
      <c r="W243" s="8">
        <v>7.9845039999999999E-3</v>
      </c>
      <c r="X243" s="8">
        <f t="shared" si="32"/>
        <v>3.1008067423564353E-11</v>
      </c>
      <c r="Y243" s="8"/>
      <c r="Z243" s="8">
        <f t="shared" si="33"/>
        <v>0</v>
      </c>
      <c r="AA243" s="8">
        <v>1.3397354E-2</v>
      </c>
      <c r="AB243" s="8">
        <f t="shared" si="34"/>
        <v>1.8889230582505409E-6</v>
      </c>
      <c r="AC243" s="8">
        <v>1.21062479</v>
      </c>
      <c r="AD243" s="18">
        <f t="shared" si="35"/>
        <v>1.7068871067531087E-4</v>
      </c>
      <c r="AE243" s="9">
        <v>45.5</v>
      </c>
      <c r="AF243" s="10">
        <v>50.7</v>
      </c>
      <c r="AG243" s="10">
        <v>45.5</v>
      </c>
      <c r="AH243" s="10">
        <v>59.2</v>
      </c>
      <c r="AI243" s="10">
        <v>33.799999999999997</v>
      </c>
      <c r="AJ243" s="10">
        <v>47.4</v>
      </c>
      <c r="AK243" s="11">
        <v>7092.5885209999997</v>
      </c>
      <c r="AL243" s="11">
        <v>58.803088799999998</v>
      </c>
      <c r="AM243" s="11">
        <v>978.8495838</v>
      </c>
      <c r="AN243" s="11">
        <v>27.5</v>
      </c>
      <c r="AO243" s="11">
        <v>68.036000000000001</v>
      </c>
      <c r="AP243" s="19">
        <v>1.1149085700000001</v>
      </c>
    </row>
    <row r="244" spans="2:42">
      <c r="B244" t="s">
        <v>74</v>
      </c>
      <c r="C244" t="s">
        <v>75</v>
      </c>
      <c r="D244" t="s">
        <v>76</v>
      </c>
      <c r="E244" t="s">
        <v>35</v>
      </c>
      <c r="F244" t="s">
        <v>36</v>
      </c>
      <c r="G244" t="s">
        <v>37</v>
      </c>
      <c r="H244" t="s">
        <v>38</v>
      </c>
      <c r="I244" t="s">
        <v>39</v>
      </c>
      <c r="J244" t="s">
        <v>40</v>
      </c>
      <c r="K244">
        <v>2013</v>
      </c>
      <c r="L244">
        <v>0.66628663651102704</v>
      </c>
      <c r="M244" s="7">
        <v>5.9168863290000004</v>
      </c>
      <c r="N244" s="7">
        <f t="shared" si="27"/>
        <v>2.125993993057985E-4</v>
      </c>
      <c r="O244" s="8">
        <v>0.87754009700000002</v>
      </c>
      <c r="P244" s="8">
        <f t="shared" si="28"/>
        <v>3.1530857129121664E-5</v>
      </c>
      <c r="Q244" s="8">
        <v>0.14148337899999999</v>
      </c>
      <c r="R244" s="8">
        <f t="shared" si="29"/>
        <v>5.0836334711602035E-6</v>
      </c>
      <c r="S244" s="8">
        <v>4.7072280000000001E-2</v>
      </c>
      <c r="T244" s="8">
        <f t="shared" si="30"/>
        <v>1.6913521564382842E-6</v>
      </c>
      <c r="U244" s="8">
        <v>6.0546760000000002E-3</v>
      </c>
      <c r="V244" s="8">
        <f t="shared" si="31"/>
        <v>2.1755031430674537E-7</v>
      </c>
      <c r="W244" s="8">
        <v>2.3801968E-2</v>
      </c>
      <c r="X244" s="8">
        <f t="shared" si="32"/>
        <v>7.8167913947771439E-12</v>
      </c>
      <c r="Y244" s="8"/>
      <c r="Z244" s="8">
        <f t="shared" si="33"/>
        <v>0</v>
      </c>
      <c r="AA244" s="8">
        <v>3.1077320000000002E-3</v>
      </c>
      <c r="AB244" s="8">
        <f t="shared" si="34"/>
        <v>1.1166379066049619E-7</v>
      </c>
      <c r="AC244" s="8">
        <v>1.547409163</v>
      </c>
      <c r="AD244" s="18">
        <f t="shared" si="35"/>
        <v>5.5599894985592582E-5</v>
      </c>
      <c r="AE244" s="9">
        <v>82.9</v>
      </c>
      <c r="AF244" s="10">
        <v>77.7</v>
      </c>
      <c r="AG244" s="10">
        <v>68.2</v>
      </c>
      <c r="AH244" s="10">
        <v>91</v>
      </c>
      <c r="AI244" s="10">
        <v>86.4</v>
      </c>
      <c r="AJ244" s="10">
        <v>85.9</v>
      </c>
      <c r="AK244" s="11">
        <v>27831.152620000001</v>
      </c>
      <c r="AL244" s="11">
        <v>22.199217900000001</v>
      </c>
      <c r="AM244" s="11">
        <v>6664.6585690000002</v>
      </c>
      <c r="AN244" s="11">
        <v>24.5</v>
      </c>
      <c r="AO244" s="11">
        <v>68.122</v>
      </c>
      <c r="AP244" s="19">
        <v>4.3139393100000003</v>
      </c>
    </row>
    <row r="245" spans="2:42">
      <c r="B245" t="s">
        <v>77</v>
      </c>
      <c r="C245" t="s">
        <v>78</v>
      </c>
      <c r="D245" t="s">
        <v>79</v>
      </c>
      <c r="E245" t="s">
        <v>35</v>
      </c>
      <c r="F245" t="s">
        <v>36</v>
      </c>
      <c r="G245" t="s">
        <v>37</v>
      </c>
      <c r="H245" t="s">
        <v>38</v>
      </c>
      <c r="I245" t="s">
        <v>39</v>
      </c>
      <c r="J245" t="s">
        <v>40</v>
      </c>
      <c r="K245">
        <v>2013</v>
      </c>
      <c r="L245">
        <v>0.25548034710088502</v>
      </c>
      <c r="M245" s="7">
        <v>13.985439879999999</v>
      </c>
      <c r="N245" s="7">
        <f t="shared" si="27"/>
        <v>3.3841905339610439E-4</v>
      </c>
      <c r="O245" s="8">
        <v>2.6469937940000001</v>
      </c>
      <c r="P245" s="8">
        <f t="shared" si="28"/>
        <v>6.4051838325934944E-5</v>
      </c>
      <c r="Q245" s="8">
        <v>0.55854596000000001</v>
      </c>
      <c r="R245" s="8">
        <f t="shared" si="29"/>
        <v>1.3515670345966866E-5</v>
      </c>
      <c r="S245" s="8">
        <v>0.133027326</v>
      </c>
      <c r="T245" s="8">
        <f t="shared" si="30"/>
        <v>3.2189893294035588E-6</v>
      </c>
      <c r="U245" s="8">
        <v>0.132522629</v>
      </c>
      <c r="V245" s="8">
        <f t="shared" si="31"/>
        <v>3.2067766938012919E-6</v>
      </c>
      <c r="W245" s="8">
        <v>0.14611227399999999</v>
      </c>
      <c r="X245" s="8">
        <f t="shared" si="32"/>
        <v>7.7597440086305147E-11</v>
      </c>
      <c r="Y245" s="8">
        <v>4.1543744000000001E-2</v>
      </c>
      <c r="Z245" s="8">
        <f t="shared" si="33"/>
        <v>1.0052736731660166E-6</v>
      </c>
      <c r="AA245" s="8">
        <v>2.5162604000000002E-2</v>
      </c>
      <c r="AB245" s="8">
        <f t="shared" si="34"/>
        <v>6.0888357461238685E-7</v>
      </c>
      <c r="AC245" s="8">
        <v>4.1057704189999997</v>
      </c>
      <c r="AD245" s="18">
        <f t="shared" si="35"/>
        <v>9.9351250341916811E-5</v>
      </c>
      <c r="AE245" s="9">
        <v>98.1</v>
      </c>
      <c r="AF245" s="10">
        <v>100</v>
      </c>
      <c r="AG245" s="10">
        <v>97.2</v>
      </c>
      <c r="AH245" s="10">
        <v>98.6</v>
      </c>
      <c r="AI245" s="10">
        <v>99.5</v>
      </c>
      <c r="AJ245" s="10">
        <v>97.2</v>
      </c>
      <c r="AK245" s="11">
        <v>41325.805209999999</v>
      </c>
      <c r="AL245" s="11">
        <v>7.4319655100000004</v>
      </c>
      <c r="AM245" s="11">
        <v>15512.122509999999</v>
      </c>
      <c r="AN245" s="11">
        <v>38.5</v>
      </c>
      <c r="AO245" s="11">
        <v>85.125</v>
      </c>
      <c r="AP245" s="19">
        <v>-1.8348944</v>
      </c>
    </row>
    <row r="246" spans="2:42">
      <c r="B246" t="s">
        <v>80</v>
      </c>
      <c r="C246" t="s">
        <v>81</v>
      </c>
      <c r="D246" t="s">
        <v>82</v>
      </c>
      <c r="E246" t="s">
        <v>35</v>
      </c>
      <c r="F246" t="s">
        <v>36</v>
      </c>
      <c r="G246" t="s">
        <v>37</v>
      </c>
      <c r="H246" t="s">
        <v>38</v>
      </c>
      <c r="I246" t="s">
        <v>39</v>
      </c>
      <c r="J246" t="s">
        <v>40</v>
      </c>
      <c r="K246">
        <v>2013</v>
      </c>
      <c r="L246">
        <v>1.02262953378277</v>
      </c>
      <c r="M246" s="7">
        <v>0.162797147</v>
      </c>
      <c r="N246" s="7">
        <f t="shared" si="27"/>
        <v>4.1127680858227798E-6</v>
      </c>
      <c r="O246" s="8">
        <v>48.113148590000002</v>
      </c>
      <c r="P246" s="8">
        <f t="shared" si="28"/>
        <v>1.2154894952145646E-3</v>
      </c>
      <c r="Q246" s="8">
        <v>3.0138192699999999</v>
      </c>
      <c r="R246" s="8">
        <f t="shared" si="29"/>
        <v>7.6138556101930369E-5</v>
      </c>
      <c r="S246" s="8">
        <v>3.2704574439999998</v>
      </c>
      <c r="T246" s="8">
        <f t="shared" si="30"/>
        <v>8.2622043749481302E-5</v>
      </c>
      <c r="U246" s="8">
        <v>0.108568285</v>
      </c>
      <c r="V246" s="8">
        <f t="shared" si="31"/>
        <v>2.7427764301085202E-6</v>
      </c>
      <c r="W246" s="8">
        <v>0.15986256600000001</v>
      </c>
      <c r="X246" s="8">
        <f t="shared" si="32"/>
        <v>6.9291161277520755E-11</v>
      </c>
      <c r="Y246" s="8">
        <v>6.1533747999999999E-2</v>
      </c>
      <c r="Z246" s="8">
        <f t="shared" si="33"/>
        <v>1.5545360569215704E-6</v>
      </c>
      <c r="AA246" s="8">
        <v>0.171657543</v>
      </c>
      <c r="AB246" s="8">
        <f t="shared" si="34"/>
        <v>4.3366095631955479E-6</v>
      </c>
      <c r="AC246" s="8">
        <v>20.992009450000001</v>
      </c>
      <c r="AD246" s="18">
        <f t="shared" si="35"/>
        <v>5.3032419863752406E-4</v>
      </c>
      <c r="AE246" s="9">
        <v>87.7</v>
      </c>
      <c r="AF246" s="10">
        <v>89.1</v>
      </c>
      <c r="AG246" s="10">
        <v>62.1</v>
      </c>
      <c r="AH246" s="10">
        <v>85.3</v>
      </c>
      <c r="AI246" s="10">
        <v>89.2</v>
      </c>
      <c r="AJ246" s="10">
        <v>89.7</v>
      </c>
      <c r="AK246" s="11">
        <v>39583.352039999998</v>
      </c>
      <c r="AL246" s="11">
        <v>52.5492323</v>
      </c>
      <c r="AM246" s="11">
        <v>7501.3107989999999</v>
      </c>
      <c r="AN246" s="11">
        <v>13.4</v>
      </c>
      <c r="AO246" s="11">
        <v>79.135000000000005</v>
      </c>
      <c r="AP246" s="19">
        <v>1.1882340499999999</v>
      </c>
    </row>
    <row r="247" spans="2:42">
      <c r="B247" t="s">
        <v>83</v>
      </c>
      <c r="C247" t="s">
        <v>84</v>
      </c>
      <c r="D247" t="s">
        <v>85</v>
      </c>
      <c r="E247" t="s">
        <v>35</v>
      </c>
      <c r="F247" t="s">
        <v>36</v>
      </c>
      <c r="G247" t="s">
        <v>37</v>
      </c>
      <c r="H247" t="s">
        <v>38</v>
      </c>
      <c r="I247" t="s">
        <v>39</v>
      </c>
      <c r="J247" t="s">
        <v>40</v>
      </c>
      <c r="K247">
        <v>2013</v>
      </c>
      <c r="L247">
        <v>0.53684376531667599</v>
      </c>
      <c r="M247" s="7">
        <v>20.323230219999999</v>
      </c>
      <c r="N247" s="7">
        <f t="shared" si="27"/>
        <v>1.8822437595159586E-3</v>
      </c>
      <c r="O247" s="8">
        <v>2.7319964369999998</v>
      </c>
      <c r="P247" s="8">
        <f t="shared" si="28"/>
        <v>2.5302489756291724E-4</v>
      </c>
      <c r="Q247" s="8">
        <v>0.17384043699999999</v>
      </c>
      <c r="R247" s="8">
        <f t="shared" si="29"/>
        <v>1.6100298729715276E-5</v>
      </c>
      <c r="S247" s="8">
        <v>0.12664510600000001</v>
      </c>
      <c r="T247" s="8">
        <f t="shared" si="30"/>
        <v>1.1729285052685739E-5</v>
      </c>
      <c r="U247" s="8">
        <v>2.4348600000000001E-3</v>
      </c>
      <c r="V247" s="8">
        <f t="shared" si="31"/>
        <v>2.255054925168794E-7</v>
      </c>
      <c r="W247" s="8">
        <v>6.38406E-4</v>
      </c>
      <c r="X247" s="8">
        <f t="shared" si="32"/>
        <v>2.0885277656736056E-11</v>
      </c>
      <c r="Y247" s="8">
        <v>7.8034879999999999E-3</v>
      </c>
      <c r="Z247" s="8">
        <f t="shared" si="33"/>
        <v>7.2272303327072528E-7</v>
      </c>
      <c r="AA247" s="8">
        <v>2.8404188E-2</v>
      </c>
      <c r="AB247" s="8">
        <f t="shared" si="34"/>
        <v>2.6306647628537312E-6</v>
      </c>
      <c r="AC247" s="8">
        <v>1.4828366900000001</v>
      </c>
      <c r="AD247" s="18">
        <f t="shared" si="35"/>
        <v>1.3733348861969444E-4</v>
      </c>
      <c r="AE247" s="9">
        <v>69.2</v>
      </c>
      <c r="AF247" s="10">
        <v>70.099999999999994</v>
      </c>
      <c r="AG247" s="10">
        <v>31.3</v>
      </c>
      <c r="AH247" s="10">
        <v>73</v>
      </c>
      <c r="AI247" s="10">
        <v>54.9</v>
      </c>
      <c r="AJ247" s="10">
        <v>55.4</v>
      </c>
      <c r="AK247" s="11">
        <v>10797.342329999999</v>
      </c>
      <c r="AL247" s="11">
        <v>35.776370700000001</v>
      </c>
      <c r="AM247" s="11">
        <v>2498.340357</v>
      </c>
      <c r="AN247" s="11">
        <v>32.4</v>
      </c>
      <c r="AO247" s="11">
        <v>56.685000000000002</v>
      </c>
      <c r="AP247" s="19">
        <v>5.9743263999999998</v>
      </c>
    </row>
    <row r="248" spans="2:42">
      <c r="B248" t="s">
        <v>86</v>
      </c>
      <c r="C248" t="s">
        <v>87</v>
      </c>
      <c r="D248" t="s">
        <v>88</v>
      </c>
      <c r="E248" t="s">
        <v>35</v>
      </c>
      <c r="F248" t="s">
        <v>36</v>
      </c>
      <c r="G248" t="s">
        <v>37</v>
      </c>
      <c r="H248" t="s">
        <v>38</v>
      </c>
      <c r="I248" t="s">
        <v>39</v>
      </c>
      <c r="J248" t="s">
        <v>40</v>
      </c>
      <c r="K248">
        <v>2013</v>
      </c>
      <c r="L248">
        <v>0.58171341170612001</v>
      </c>
      <c r="M248" s="7">
        <v>15.52325338</v>
      </c>
      <c r="N248" s="7">
        <f t="shared" si="27"/>
        <v>3.3827818274068816E-4</v>
      </c>
      <c r="O248" s="8">
        <v>39.45852163</v>
      </c>
      <c r="P248" s="8">
        <f t="shared" si="28"/>
        <v>8.5986852522989198E-4</v>
      </c>
      <c r="Q248" s="8">
        <v>3.7514170839999998</v>
      </c>
      <c r="R248" s="8">
        <f t="shared" si="29"/>
        <v>8.1749780333605004E-5</v>
      </c>
      <c r="S248" s="8">
        <v>11.49428874</v>
      </c>
      <c r="T248" s="8">
        <f t="shared" si="30"/>
        <v>2.5048016750622376E-4</v>
      </c>
      <c r="U248" s="8">
        <v>0.20405689299999999</v>
      </c>
      <c r="V248" s="8">
        <f t="shared" si="31"/>
        <v>4.4467479367879164E-6</v>
      </c>
      <c r="W248" s="8">
        <v>0.44360848800000002</v>
      </c>
      <c r="X248" s="8">
        <f t="shared" si="32"/>
        <v>9.6902226249850772E-11</v>
      </c>
      <c r="Y248" s="8">
        <v>0.223549688</v>
      </c>
      <c r="Z248" s="8">
        <f t="shared" si="33"/>
        <v>4.8715292057474505E-6</v>
      </c>
      <c r="AA248" s="8">
        <v>0.31439075300000002</v>
      </c>
      <c r="AB248" s="8">
        <f t="shared" si="34"/>
        <v>6.8511110391548963E-6</v>
      </c>
      <c r="AC248" s="8">
        <v>16.47350561</v>
      </c>
      <c r="AD248" s="18">
        <f t="shared" si="35"/>
        <v>3.5898580050874179E-4</v>
      </c>
      <c r="AE248" s="9">
        <v>94.3</v>
      </c>
      <c r="AF248" s="10">
        <v>90.5</v>
      </c>
      <c r="AG248" s="10">
        <v>76.3</v>
      </c>
      <c r="AH248" s="10">
        <v>92.4</v>
      </c>
      <c r="AI248" s="10">
        <v>92</v>
      </c>
      <c r="AJ248" s="10">
        <v>93.4</v>
      </c>
      <c r="AK248" s="11">
        <v>45889.0173</v>
      </c>
      <c r="AL248" s="11">
        <v>47.858862700000003</v>
      </c>
      <c r="AM248" s="11">
        <v>7217.1818910000002</v>
      </c>
      <c r="AN248" s="11">
        <v>13.6</v>
      </c>
      <c r="AO248" s="11">
        <v>77.180000000000007</v>
      </c>
      <c r="AP248" s="19">
        <v>1.76465787</v>
      </c>
    </row>
    <row r="249" spans="2:42">
      <c r="B249" t="s">
        <v>89</v>
      </c>
      <c r="C249" t="s">
        <v>90</v>
      </c>
      <c r="D249" t="s">
        <v>91</v>
      </c>
      <c r="E249" t="s">
        <v>35</v>
      </c>
      <c r="F249" t="s">
        <v>36</v>
      </c>
      <c r="G249" t="s">
        <v>37</v>
      </c>
      <c r="H249" t="s">
        <v>38</v>
      </c>
      <c r="I249" t="s">
        <v>39</v>
      </c>
      <c r="J249" t="s">
        <v>40</v>
      </c>
      <c r="K249">
        <v>2013</v>
      </c>
      <c r="L249">
        <v>1.6999844344132899</v>
      </c>
      <c r="M249" s="7">
        <v>0.520236747</v>
      </c>
      <c r="N249" s="7">
        <f t="shared" si="27"/>
        <v>2.0218380747314406E-5</v>
      </c>
      <c r="O249" s="8">
        <v>4.691486287</v>
      </c>
      <c r="P249" s="8">
        <f t="shared" si="28"/>
        <v>1.8232901956341494E-4</v>
      </c>
      <c r="Q249" s="8">
        <v>0.30432816800000001</v>
      </c>
      <c r="R249" s="8">
        <f t="shared" si="29"/>
        <v>1.1827351313106424E-5</v>
      </c>
      <c r="S249" s="8">
        <v>2.9891253029999998</v>
      </c>
      <c r="T249" s="8">
        <f t="shared" si="30"/>
        <v>1.1616879012486509E-4</v>
      </c>
      <c r="U249" s="8">
        <v>1.0346579999999999E-2</v>
      </c>
      <c r="V249" s="8">
        <f t="shared" si="31"/>
        <v>4.0210749255770714E-7</v>
      </c>
      <c r="W249" s="8">
        <v>2.0260375000000001E-2</v>
      </c>
      <c r="X249" s="8">
        <f t="shared" si="32"/>
        <v>1.5627428152205514E-11</v>
      </c>
      <c r="Y249" s="8">
        <v>2.8767200000000001E-3</v>
      </c>
      <c r="Z249" s="8">
        <f t="shared" si="33"/>
        <v>1.11800292076281E-7</v>
      </c>
      <c r="AA249" s="8">
        <v>7.0297007999999994E-2</v>
      </c>
      <c r="AB249" s="8">
        <f t="shared" si="34"/>
        <v>2.732009380992471E-6</v>
      </c>
      <c r="AC249" s="8">
        <v>4.5673963500000001</v>
      </c>
      <c r="AD249" s="18">
        <f t="shared" si="35"/>
        <v>1.775064121493019E-4</v>
      </c>
      <c r="AE249" s="9">
        <v>55.9</v>
      </c>
      <c r="AF249" s="10">
        <v>64.5</v>
      </c>
      <c r="AG249" s="10">
        <v>40.299999999999997</v>
      </c>
      <c r="AH249" s="10">
        <v>71.099999999999994</v>
      </c>
      <c r="AI249" s="10">
        <v>64.8</v>
      </c>
      <c r="AJ249" s="10">
        <v>68.099999999999994</v>
      </c>
      <c r="AK249" s="11">
        <v>25730.8809</v>
      </c>
      <c r="AL249" s="11">
        <v>55.492629999999998</v>
      </c>
      <c r="AM249" s="11">
        <v>5028.9957940000004</v>
      </c>
      <c r="AN249" s="11">
        <v>16.600000000000001</v>
      </c>
      <c r="AO249" s="11">
        <v>77.355000000000004</v>
      </c>
      <c r="AP249" s="19">
        <v>1.2450617900000001</v>
      </c>
    </row>
    <row r="250" spans="2:42">
      <c r="B250" t="s">
        <v>92</v>
      </c>
      <c r="C250" t="s">
        <v>93</v>
      </c>
      <c r="D250" t="s">
        <v>94</v>
      </c>
      <c r="E250" t="s">
        <v>35</v>
      </c>
      <c r="F250" t="s">
        <v>36</v>
      </c>
      <c r="G250" t="s">
        <v>37</v>
      </c>
      <c r="H250" t="s">
        <v>38</v>
      </c>
      <c r="I250" t="s">
        <v>39</v>
      </c>
      <c r="J250" t="s">
        <v>40</v>
      </c>
      <c r="K250">
        <v>2013</v>
      </c>
      <c r="L250">
        <v>0.90863532702209104</v>
      </c>
      <c r="M250" s="7">
        <v>20.323230219999999</v>
      </c>
      <c r="N250" s="7">
        <f t="shared" si="27"/>
        <v>8.2642848673514853E-4</v>
      </c>
      <c r="O250" s="8">
        <v>3.3328152900000001</v>
      </c>
      <c r="P250" s="8">
        <f t="shared" si="28"/>
        <v>1.355263640113636E-4</v>
      </c>
      <c r="Q250" s="8">
        <v>0.80612159699999997</v>
      </c>
      <c r="R250" s="8">
        <f t="shared" si="29"/>
        <v>3.2780313184546074E-5</v>
      </c>
      <c r="S250" s="8">
        <v>2.1613784539999998</v>
      </c>
      <c r="T250" s="8">
        <f t="shared" si="30"/>
        <v>8.7890788308020004E-5</v>
      </c>
      <c r="U250" s="8">
        <v>8.5558860000000004E-3</v>
      </c>
      <c r="V250" s="8">
        <f t="shared" si="31"/>
        <v>3.4791850720167864E-7</v>
      </c>
      <c r="W250" s="8">
        <v>2.7185846E-2</v>
      </c>
      <c r="X250" s="8">
        <f t="shared" si="32"/>
        <v>1.414783783391276E-11</v>
      </c>
      <c r="Y250" s="8">
        <v>5.33112E-3</v>
      </c>
      <c r="Z250" s="8">
        <f t="shared" si="33"/>
        <v>2.1678588425710827E-7</v>
      </c>
      <c r="AA250" s="8">
        <v>1.9759741000000001E-2</v>
      </c>
      <c r="AB250" s="8">
        <f t="shared" si="34"/>
        <v>8.0351463208039533E-7</v>
      </c>
      <c r="AC250" s="8">
        <v>3.541054554</v>
      </c>
      <c r="AD250" s="18">
        <f t="shared" si="35"/>
        <v>1.4399425311971032E-4</v>
      </c>
      <c r="AE250" s="9">
        <v>64.900000000000006</v>
      </c>
      <c r="AF250" s="10">
        <v>71.599999999999994</v>
      </c>
      <c r="AG250" s="10">
        <v>70.599999999999994</v>
      </c>
      <c r="AH250" s="10">
        <v>77.7</v>
      </c>
      <c r="AI250" s="10">
        <v>67.599999999999994</v>
      </c>
      <c r="AJ250" s="10">
        <v>70.400000000000006</v>
      </c>
      <c r="AK250" s="11">
        <v>24591.638050000001</v>
      </c>
      <c r="AL250" s="11">
        <v>58.069148400000003</v>
      </c>
      <c r="AM250" s="11">
        <v>3900.439331</v>
      </c>
      <c r="AN250" s="11">
        <v>17.2</v>
      </c>
      <c r="AO250" s="11">
        <v>69.953000000000003</v>
      </c>
      <c r="AP250" s="19">
        <v>-2.7498640000000001</v>
      </c>
    </row>
    <row r="251" spans="2:42">
      <c r="B251" t="s">
        <v>95</v>
      </c>
      <c r="C251" t="s">
        <v>96</v>
      </c>
      <c r="D251" t="s">
        <v>97</v>
      </c>
      <c r="E251" t="s">
        <v>35</v>
      </c>
      <c r="F251" t="s">
        <v>36</v>
      </c>
      <c r="G251" t="s">
        <v>37</v>
      </c>
      <c r="H251" t="s">
        <v>38</v>
      </c>
      <c r="I251" t="s">
        <v>39</v>
      </c>
      <c r="J251" t="s">
        <v>40</v>
      </c>
      <c r="K251">
        <v>2013</v>
      </c>
      <c r="L251">
        <v>0.51242467531045899</v>
      </c>
      <c r="M251" s="7">
        <v>60.551543610000003</v>
      </c>
      <c r="N251" s="7">
        <f t="shared" si="27"/>
        <v>1.3634765816014939E-3</v>
      </c>
      <c r="O251" s="8">
        <v>0.29824567200000002</v>
      </c>
      <c r="P251" s="8">
        <f t="shared" si="28"/>
        <v>6.7157823746848718E-6</v>
      </c>
      <c r="Q251" s="8">
        <v>1.702713E-3</v>
      </c>
      <c r="R251" s="8">
        <f t="shared" si="29"/>
        <v>3.8341042395903741E-8</v>
      </c>
      <c r="S251" s="13">
        <v>4.6851000000000003E-6</v>
      </c>
      <c r="T251" s="8">
        <f t="shared" si="30"/>
        <v>1.0549729621436415E-10</v>
      </c>
      <c r="U251" s="8">
        <v>1.6698609999999999E-3</v>
      </c>
      <c r="V251" s="8">
        <f t="shared" si="31"/>
        <v>3.7601293580460248E-8</v>
      </c>
      <c r="W251" s="14">
        <v>9.7840199999999995E-6</v>
      </c>
      <c r="X251" s="8">
        <f t="shared" si="32"/>
        <v>8.4669159823719533E-13</v>
      </c>
      <c r="Y251" s="8">
        <v>3.85616E-3</v>
      </c>
      <c r="Z251" s="8">
        <f t="shared" si="33"/>
        <v>8.6831541220034247E-8</v>
      </c>
      <c r="AA251" s="8">
        <v>2.4279229999999998E-3</v>
      </c>
      <c r="AB251" s="8">
        <f t="shared" si="34"/>
        <v>5.467104478381841E-8</v>
      </c>
      <c r="AC251" s="8">
        <v>0.23245629800000001</v>
      </c>
      <c r="AD251" s="18">
        <f t="shared" si="35"/>
        <v>5.2343623246036384E-6</v>
      </c>
      <c r="AE251" s="9">
        <v>95.7</v>
      </c>
      <c r="AF251" s="10">
        <v>89.6</v>
      </c>
      <c r="AG251" s="10">
        <v>94.3</v>
      </c>
      <c r="AH251" s="10">
        <v>83.9</v>
      </c>
      <c r="AI251" s="10">
        <v>92.5</v>
      </c>
      <c r="AJ251" s="10">
        <v>94.8</v>
      </c>
      <c r="AK251" s="11">
        <v>44409.668949999999</v>
      </c>
      <c r="AL251" s="11">
        <v>18.675311700000002</v>
      </c>
      <c r="AM251" s="11">
        <v>54799.174709999999</v>
      </c>
      <c r="AN251" s="11">
        <v>76.8</v>
      </c>
      <c r="AO251" s="11">
        <v>93.632999999999996</v>
      </c>
      <c r="AP251" s="19">
        <v>2.9308885099999999</v>
      </c>
    </row>
    <row r="252" spans="2:42">
      <c r="B252" t="s">
        <v>98</v>
      </c>
      <c r="C252" t="s">
        <v>99</v>
      </c>
      <c r="D252" t="s">
        <v>100</v>
      </c>
      <c r="E252" t="s">
        <v>35</v>
      </c>
      <c r="F252" t="s">
        <v>36</v>
      </c>
      <c r="G252" t="s">
        <v>37</v>
      </c>
      <c r="H252" t="s">
        <v>38</v>
      </c>
      <c r="I252" t="s">
        <v>39</v>
      </c>
      <c r="J252" t="s">
        <v>40</v>
      </c>
      <c r="K252">
        <v>2013</v>
      </c>
      <c r="L252">
        <v>0.26833480443496799</v>
      </c>
      <c r="M252" s="7">
        <v>3095.9141410000002</v>
      </c>
      <c r="N252" s="7">
        <f t="shared" si="27"/>
        <v>0.31379574383427178</v>
      </c>
      <c r="O252" s="8">
        <v>112.0845856</v>
      </c>
      <c r="P252" s="8">
        <f t="shared" si="28"/>
        <v>1.1360672263135642E-2</v>
      </c>
      <c r="Q252" s="8">
        <v>12.155918079999999</v>
      </c>
      <c r="R252" s="8">
        <f t="shared" si="29"/>
        <v>1.232099852313725E-3</v>
      </c>
      <c r="S252" s="8">
        <v>149.13947390000001</v>
      </c>
      <c r="T252" s="8">
        <f t="shared" si="30"/>
        <v>1.511648256898558E-2</v>
      </c>
      <c r="U252" s="8">
        <v>0.37596654200000001</v>
      </c>
      <c r="V252" s="8">
        <f t="shared" si="31"/>
        <v>3.8107226276495431E-5</v>
      </c>
      <c r="W252" s="8">
        <v>9.347076E-2</v>
      </c>
      <c r="X252" s="8">
        <f t="shared" si="32"/>
        <v>3.8624732050971279E-9</v>
      </c>
      <c r="Y252" s="8">
        <v>6.3446876999999999E-2</v>
      </c>
      <c r="Z252" s="8">
        <f t="shared" si="33"/>
        <v>6.4308501642573648E-6</v>
      </c>
      <c r="AA252" s="8">
        <v>0.807315699</v>
      </c>
      <c r="AB252" s="8">
        <f t="shared" si="34"/>
        <v>8.182792504541554E-5</v>
      </c>
      <c r="AC252" s="8">
        <v>40.390994679999999</v>
      </c>
      <c r="AD252" s="18">
        <f t="shared" si="35"/>
        <v>4.0939514607219573E-3</v>
      </c>
      <c r="AE252" s="9">
        <v>29.4</v>
      </c>
      <c r="AF252" s="10">
        <v>46</v>
      </c>
      <c r="AG252" s="10">
        <v>28.4</v>
      </c>
      <c r="AH252" s="10">
        <v>47.4</v>
      </c>
      <c r="AI252" s="10">
        <v>36.6</v>
      </c>
      <c r="AJ252" s="10">
        <v>50.2</v>
      </c>
      <c r="AK252" s="11">
        <v>9866.0169929999993</v>
      </c>
      <c r="AL252" s="11">
        <v>27.398391199999999</v>
      </c>
      <c r="AM252" s="11">
        <v>763.41651999999999</v>
      </c>
      <c r="AN252" s="11">
        <v>30.6</v>
      </c>
      <c r="AO252" s="11">
        <v>51.954999999999998</v>
      </c>
      <c r="AP252" s="19">
        <v>2.55135633</v>
      </c>
    </row>
    <row r="253" spans="2:42">
      <c r="B253" t="s">
        <v>101</v>
      </c>
      <c r="C253" t="s">
        <v>102</v>
      </c>
      <c r="D253" t="s">
        <v>103</v>
      </c>
      <c r="E253" t="s">
        <v>35</v>
      </c>
      <c r="F253" t="s">
        <v>36</v>
      </c>
      <c r="G253" t="s">
        <v>37</v>
      </c>
      <c r="H253" t="s">
        <v>38</v>
      </c>
      <c r="I253" t="s">
        <v>39</v>
      </c>
      <c r="J253" t="s">
        <v>40</v>
      </c>
      <c r="K253">
        <v>2013</v>
      </c>
      <c r="L253">
        <v>0.58013897479619103</v>
      </c>
      <c r="M253" s="7">
        <v>62.876012950000003</v>
      </c>
      <c r="N253" s="7">
        <f t="shared" si="27"/>
        <v>1.2874200230863382E-3</v>
      </c>
      <c r="O253" s="8">
        <v>15.979425969999999</v>
      </c>
      <c r="P253" s="8">
        <f t="shared" si="28"/>
        <v>3.2718730062548967E-4</v>
      </c>
      <c r="Q253" s="8">
        <v>0.20417945200000001</v>
      </c>
      <c r="R253" s="8">
        <f t="shared" si="29"/>
        <v>4.1806835782769823E-6</v>
      </c>
      <c r="S253" s="8">
        <v>1.126364782</v>
      </c>
      <c r="T253" s="8">
        <f t="shared" si="30"/>
        <v>2.3062921861779377E-5</v>
      </c>
      <c r="U253" s="8">
        <v>9.2654169999999998E-3</v>
      </c>
      <c r="V253" s="8">
        <f t="shared" si="31"/>
        <v>1.897143729124534E-7</v>
      </c>
      <c r="W253" s="8">
        <v>1.5399005E-2</v>
      </c>
      <c r="X253" s="8">
        <f t="shared" si="32"/>
        <v>3.8845033407093753E-12</v>
      </c>
      <c r="Y253" s="8"/>
      <c r="Z253" s="8">
        <f t="shared" si="33"/>
        <v>0</v>
      </c>
      <c r="AA253" s="8">
        <v>1.3505395999999999E-2</v>
      </c>
      <c r="AB253" s="8">
        <f t="shared" si="34"/>
        <v>2.7653021262554683E-7</v>
      </c>
      <c r="AC253" s="8">
        <v>0.74494459400000002</v>
      </c>
      <c r="AD253" s="18">
        <f t="shared" si="35"/>
        <v>1.5253139335793759E-5</v>
      </c>
      <c r="AE253" s="9">
        <v>92.4</v>
      </c>
      <c r="AF253" s="10">
        <v>90</v>
      </c>
      <c r="AG253" s="10">
        <v>75.400000000000006</v>
      </c>
      <c r="AH253" s="10">
        <v>93.8</v>
      </c>
      <c r="AI253" s="10">
        <v>94.8</v>
      </c>
      <c r="AJ253" s="10">
        <v>92</v>
      </c>
      <c r="AK253" s="11">
        <v>48838.771979999998</v>
      </c>
      <c r="AL253" s="11">
        <v>64.987661500000002</v>
      </c>
      <c r="AM253" s="11">
        <v>5654.420505</v>
      </c>
      <c r="AN253" s="11">
        <v>7.7</v>
      </c>
      <c r="AO253" s="11">
        <v>62.140999999999998</v>
      </c>
      <c r="AP253" s="19">
        <v>29.814988400000001</v>
      </c>
    </row>
    <row r="254" spans="2:42">
      <c r="B254" t="s">
        <v>104</v>
      </c>
      <c r="C254" t="s">
        <v>105</v>
      </c>
      <c r="D254" t="s">
        <v>106</v>
      </c>
      <c r="E254" t="s">
        <v>35</v>
      </c>
      <c r="F254" t="s">
        <v>36</v>
      </c>
      <c r="G254" t="s">
        <v>37</v>
      </c>
      <c r="H254" t="s">
        <v>38</v>
      </c>
      <c r="I254" t="s">
        <v>39</v>
      </c>
      <c r="J254" t="s">
        <v>40</v>
      </c>
      <c r="K254">
        <v>2013</v>
      </c>
      <c r="L254">
        <v>0.57128504224857701</v>
      </c>
      <c r="M254" s="7">
        <v>4.8698796719999997</v>
      </c>
      <c r="N254" s="7">
        <f t="shared" si="27"/>
        <v>1.3982911737237574E-4</v>
      </c>
      <c r="O254" s="8">
        <v>1.660827681</v>
      </c>
      <c r="P254" s="8">
        <f t="shared" si="28"/>
        <v>4.7687434676689817E-5</v>
      </c>
      <c r="Q254" s="8">
        <v>8.5388419999999996E-3</v>
      </c>
      <c r="R254" s="8">
        <f t="shared" si="29"/>
        <v>2.451762303506401E-7</v>
      </c>
      <c r="S254" s="8">
        <v>0.26176851099999998</v>
      </c>
      <c r="T254" s="8">
        <f t="shared" si="30"/>
        <v>7.5161733583406346E-6</v>
      </c>
      <c r="U254" s="8">
        <v>3.2348960000000001E-3</v>
      </c>
      <c r="V254" s="8">
        <f t="shared" si="31"/>
        <v>9.2883743118371816E-8</v>
      </c>
      <c r="W254" s="8">
        <v>2.6618811999999999E-2</v>
      </c>
      <c r="X254" s="8">
        <f t="shared" si="32"/>
        <v>2.6669759199923844E-12</v>
      </c>
      <c r="Y254" s="8">
        <v>1.848E-3</v>
      </c>
      <c r="Z254" s="8">
        <f t="shared" si="33"/>
        <v>5.3061723555487135E-8</v>
      </c>
      <c r="AA254" s="8">
        <v>5.0137487000000001E-2</v>
      </c>
      <c r="AB254" s="8">
        <f t="shared" si="34"/>
        <v>1.4396003652385445E-6</v>
      </c>
      <c r="AC254" s="8">
        <v>5.557736459</v>
      </c>
      <c r="AD254" s="18">
        <f t="shared" si="35"/>
        <v>1.5957958635373916E-4</v>
      </c>
      <c r="AE254" s="9">
        <v>78.2</v>
      </c>
      <c r="AF254" s="10">
        <v>85.8</v>
      </c>
      <c r="AG254" s="10">
        <v>15.2</v>
      </c>
      <c r="AH254" s="10">
        <v>85.8</v>
      </c>
      <c r="AI254" s="10">
        <v>80.3</v>
      </c>
      <c r="AJ254" s="10">
        <v>67.099999999999994</v>
      </c>
      <c r="AK254" s="11">
        <v>34827.364739999997</v>
      </c>
      <c r="AL254" s="11">
        <v>24.043438099999999</v>
      </c>
      <c r="AM254" s="11">
        <v>6709.9696009999998</v>
      </c>
      <c r="AN254" s="11">
        <v>3.3</v>
      </c>
      <c r="AO254" s="11">
        <v>92.031000000000006</v>
      </c>
      <c r="AP254" s="19">
        <v>3.96752766</v>
      </c>
    </row>
    <row r="255" spans="2:42">
      <c r="B255" t="s">
        <v>107</v>
      </c>
      <c r="C255" t="s">
        <v>108</v>
      </c>
      <c r="D255" t="s">
        <v>109</v>
      </c>
      <c r="E255" t="s">
        <v>35</v>
      </c>
      <c r="F255" t="s">
        <v>36</v>
      </c>
      <c r="G255" t="s">
        <v>37</v>
      </c>
      <c r="H255" t="s">
        <v>38</v>
      </c>
      <c r="I255" t="s">
        <v>39</v>
      </c>
      <c r="J255" t="s">
        <v>40</v>
      </c>
      <c r="K255">
        <v>2013</v>
      </c>
      <c r="L255">
        <v>0.923701751666408</v>
      </c>
      <c r="M255" s="7">
        <v>81.287654930000002</v>
      </c>
      <c r="N255" s="7">
        <f t="shared" si="27"/>
        <v>2.229545439246949E-3</v>
      </c>
      <c r="O255" s="8">
        <v>21.81854581</v>
      </c>
      <c r="P255" s="8">
        <f t="shared" si="28"/>
        <v>5.9843575686340856E-4</v>
      </c>
      <c r="Q255" s="8">
        <v>2.5152276499999999</v>
      </c>
      <c r="R255" s="8">
        <f t="shared" si="29"/>
        <v>6.8987281531918121E-5</v>
      </c>
      <c r="S255" s="8">
        <v>4.600861375</v>
      </c>
      <c r="T255" s="8">
        <f t="shared" si="30"/>
        <v>1.2619172621072805E-4</v>
      </c>
      <c r="U255" s="8">
        <v>5.6802116E-2</v>
      </c>
      <c r="V255" s="8">
        <f t="shared" si="31"/>
        <v>1.5579598006171213E-6</v>
      </c>
      <c r="W255" s="8">
        <v>0.23233941399999999</v>
      </c>
      <c r="X255" s="8">
        <f t="shared" si="32"/>
        <v>4.2731484516156761E-11</v>
      </c>
      <c r="Y255" s="8">
        <v>4.0378881999999998E-2</v>
      </c>
      <c r="Z255" s="8">
        <f t="shared" si="33"/>
        <v>1.1075058356956678E-6</v>
      </c>
      <c r="AA255" s="8">
        <v>0.398204214</v>
      </c>
      <c r="AB255" s="8">
        <f t="shared" si="34"/>
        <v>1.0921884632754482E-5</v>
      </c>
      <c r="AC255" s="8">
        <v>17.488934059999998</v>
      </c>
      <c r="AD255" s="18">
        <f t="shared" si="35"/>
        <v>4.796838241223897E-4</v>
      </c>
      <c r="AE255" s="9">
        <v>60.2</v>
      </c>
      <c r="AF255" s="10">
        <v>68.7</v>
      </c>
      <c r="AG255" s="10">
        <v>64</v>
      </c>
      <c r="AH255" s="10">
        <v>74.900000000000006</v>
      </c>
      <c r="AI255" s="10">
        <v>63.8</v>
      </c>
      <c r="AJ255" s="10">
        <v>76.099999999999994</v>
      </c>
      <c r="AK255" s="11">
        <v>36459.295019999998</v>
      </c>
      <c r="AL255" s="11">
        <v>46.0912085</v>
      </c>
      <c r="AM255" s="11">
        <v>5152.5234449999998</v>
      </c>
      <c r="AN255" s="11">
        <v>16.3</v>
      </c>
      <c r="AO255" s="11">
        <v>68.978999999999999</v>
      </c>
      <c r="AP255" s="19">
        <v>0.90707689999999996</v>
      </c>
    </row>
    <row r="256" spans="2:42">
      <c r="B256" t="s">
        <v>110</v>
      </c>
      <c r="C256" t="s">
        <v>111</v>
      </c>
      <c r="D256" t="s">
        <v>112</v>
      </c>
      <c r="E256" t="s">
        <v>35</v>
      </c>
      <c r="F256" t="s">
        <v>36</v>
      </c>
      <c r="G256" t="s">
        <v>37</v>
      </c>
      <c r="H256" t="s">
        <v>38</v>
      </c>
      <c r="I256" t="s">
        <v>39</v>
      </c>
      <c r="J256" t="s">
        <v>40</v>
      </c>
      <c r="K256">
        <v>2013</v>
      </c>
      <c r="L256">
        <v>1.10296704977348</v>
      </c>
      <c r="M256" s="7">
        <v>1.394948563</v>
      </c>
      <c r="N256" s="7">
        <f t="shared" si="27"/>
        <v>3.5402966204394403E-5</v>
      </c>
      <c r="O256" s="8">
        <v>46.826062950000001</v>
      </c>
      <c r="P256" s="8">
        <f t="shared" si="28"/>
        <v>1.1884176722175633E-3</v>
      </c>
      <c r="Q256" s="8">
        <v>1.192813243</v>
      </c>
      <c r="R256" s="8">
        <f t="shared" si="29"/>
        <v>3.0272891811339922E-5</v>
      </c>
      <c r="S256" s="8">
        <v>4.3324344610000001</v>
      </c>
      <c r="T256" s="8">
        <f t="shared" si="30"/>
        <v>1.0995461400789779E-4</v>
      </c>
      <c r="U256" s="8">
        <v>0.38434594100000002</v>
      </c>
      <c r="V256" s="8">
        <f t="shared" si="31"/>
        <v>9.7544717568336371E-6</v>
      </c>
      <c r="W256" s="8">
        <v>0.63408349900000005</v>
      </c>
      <c r="X256" s="8">
        <f t="shared" si="32"/>
        <v>2.4756270095451608E-10</v>
      </c>
      <c r="Y256" s="8">
        <v>0.32993931500000001</v>
      </c>
      <c r="Z256" s="8">
        <f t="shared" si="33"/>
        <v>8.3736638957676312E-6</v>
      </c>
      <c r="AA256" s="8">
        <v>0.69990575200000005</v>
      </c>
      <c r="AB256" s="8">
        <f t="shared" si="34"/>
        <v>1.7763192379672894E-5</v>
      </c>
      <c r="AC256" s="8">
        <v>9.0300574719999993</v>
      </c>
      <c r="AD256" s="18">
        <f t="shared" si="35"/>
        <v>2.2917749656476411E-4</v>
      </c>
      <c r="AE256" s="9">
        <v>92.9</v>
      </c>
      <c r="AF256" s="10">
        <v>93.4</v>
      </c>
      <c r="AG256" s="10">
        <v>82.9</v>
      </c>
      <c r="AH256" s="10">
        <v>82.9</v>
      </c>
      <c r="AI256" s="10">
        <v>89.7</v>
      </c>
      <c r="AJ256" s="10">
        <v>85</v>
      </c>
      <c r="AK256" s="11">
        <v>39402.025099999999</v>
      </c>
      <c r="AL256" s="11">
        <v>13.421124799999999</v>
      </c>
      <c r="AM256" s="11">
        <v>8290.7450270000008</v>
      </c>
      <c r="AN256" s="11">
        <v>5</v>
      </c>
      <c r="AO256" s="11">
        <v>91.225999999999999</v>
      </c>
      <c r="AP256" s="19">
        <v>0.20429338</v>
      </c>
    </row>
    <row r="257" spans="2:42">
      <c r="B257" t="s">
        <v>113</v>
      </c>
      <c r="C257" t="s">
        <v>114</v>
      </c>
      <c r="D257" t="s">
        <v>115</v>
      </c>
      <c r="E257" t="s">
        <v>35</v>
      </c>
      <c r="F257" t="s">
        <v>36</v>
      </c>
      <c r="G257" t="s">
        <v>37</v>
      </c>
      <c r="H257" t="s">
        <v>38</v>
      </c>
      <c r="I257" t="s">
        <v>39</v>
      </c>
      <c r="J257" t="s">
        <v>40</v>
      </c>
      <c r="K257">
        <v>2013</v>
      </c>
      <c r="L257">
        <v>0.66561577844486397</v>
      </c>
      <c r="M257" s="7">
        <v>16.474644730000001</v>
      </c>
      <c r="N257" s="7">
        <f t="shared" si="27"/>
        <v>7.5398394716123265E-4</v>
      </c>
      <c r="O257" s="8">
        <v>1.1883507440000001</v>
      </c>
      <c r="P257" s="8">
        <f t="shared" si="28"/>
        <v>5.4386446521758015E-5</v>
      </c>
      <c r="Q257" s="8">
        <v>0.24675449299999999</v>
      </c>
      <c r="R257" s="8">
        <f t="shared" si="29"/>
        <v>1.1293046354627444E-5</v>
      </c>
      <c r="S257" s="8">
        <v>0.14948064999999999</v>
      </c>
      <c r="T257" s="8">
        <f t="shared" si="30"/>
        <v>6.8411800289684727E-6</v>
      </c>
      <c r="U257" s="8">
        <v>1.3489846999999999E-2</v>
      </c>
      <c r="V257" s="8">
        <f t="shared" si="31"/>
        <v>6.1738072379428552E-7</v>
      </c>
      <c r="W257" s="8">
        <v>1.2573391999999999E-2</v>
      </c>
      <c r="X257" s="8">
        <f t="shared" si="32"/>
        <v>2.8255246935918241E-11</v>
      </c>
      <c r="Y257" s="8">
        <v>3.8567000000000001E-4</v>
      </c>
      <c r="Z257" s="8">
        <f t="shared" si="33"/>
        <v>1.7650698613982956E-8</v>
      </c>
      <c r="AA257" s="8">
        <v>8.7318599999999993E-3</v>
      </c>
      <c r="AB257" s="8">
        <f t="shared" si="34"/>
        <v>3.9962514377445275E-7</v>
      </c>
      <c r="AC257" s="8">
        <v>0.80416288000000002</v>
      </c>
      <c r="AD257" s="18">
        <f t="shared" si="35"/>
        <v>3.6803579825842145E-5</v>
      </c>
      <c r="AE257" s="9">
        <v>66.8</v>
      </c>
      <c r="AF257" s="10">
        <v>75.8</v>
      </c>
      <c r="AG257" s="10">
        <v>65.400000000000006</v>
      </c>
      <c r="AH257" s="10">
        <v>80.099999999999994</v>
      </c>
      <c r="AI257" s="10">
        <v>72.3</v>
      </c>
      <c r="AJ257" s="10">
        <v>71.400000000000006</v>
      </c>
      <c r="AK257" s="11">
        <v>21850.126639999999</v>
      </c>
      <c r="AL257" s="11">
        <v>30.163755299999998</v>
      </c>
      <c r="AM257" s="11">
        <v>3473.038243</v>
      </c>
      <c r="AN257" s="11">
        <v>39.6</v>
      </c>
      <c r="AO257" s="11">
        <v>67.924999999999997</v>
      </c>
      <c r="AP257" s="19">
        <v>3.39352199</v>
      </c>
    </row>
    <row r="258" spans="2:42">
      <c r="B258" t="s">
        <v>116</v>
      </c>
      <c r="C258" t="s">
        <v>117</v>
      </c>
      <c r="D258" t="s">
        <v>118</v>
      </c>
      <c r="E258" t="s">
        <v>35</v>
      </c>
      <c r="F258" t="s">
        <v>36</v>
      </c>
      <c r="G258" t="s">
        <v>37</v>
      </c>
      <c r="H258" t="s">
        <v>38</v>
      </c>
      <c r="I258" t="s">
        <v>39</v>
      </c>
      <c r="J258" t="s">
        <v>40</v>
      </c>
      <c r="K258">
        <v>2013</v>
      </c>
      <c r="L258">
        <v>0.53375323919222795</v>
      </c>
      <c r="M258" s="7">
        <v>90.613306300000005</v>
      </c>
      <c r="N258" s="7">
        <f t="shared" si="27"/>
        <v>3.4112121159725079E-3</v>
      </c>
      <c r="O258" s="8">
        <v>2.4226963050000001</v>
      </c>
      <c r="P258" s="8">
        <f t="shared" si="28"/>
        <v>9.1204386269457056E-5</v>
      </c>
      <c r="Q258" s="8">
        <v>0.23313774100000001</v>
      </c>
      <c r="R258" s="8">
        <f t="shared" si="29"/>
        <v>8.7766611689089256E-6</v>
      </c>
      <c r="S258" s="8">
        <v>0.25591529899999998</v>
      </c>
      <c r="T258" s="8">
        <f t="shared" si="30"/>
        <v>9.6341409916252771E-6</v>
      </c>
      <c r="U258" s="8">
        <v>5.0529549999999996E-3</v>
      </c>
      <c r="V258" s="8">
        <f t="shared" si="31"/>
        <v>1.9022262867659935E-7</v>
      </c>
      <c r="W258" s="8">
        <v>1.5265337E-2</v>
      </c>
      <c r="X258" s="8">
        <f t="shared" si="32"/>
        <v>7.1610866236955214E-12</v>
      </c>
      <c r="Y258" s="8">
        <v>3.6064000000000001E-3</v>
      </c>
      <c r="Z258" s="8">
        <f t="shared" si="33"/>
        <v>1.3576588116444498E-7</v>
      </c>
      <c r="AA258" s="8">
        <v>1.6490540000000001E-2</v>
      </c>
      <c r="AB258" s="8">
        <f t="shared" si="34"/>
        <v>6.2079988187043217E-7</v>
      </c>
      <c r="AC258" s="8">
        <v>1.4166725019999999</v>
      </c>
      <c r="AD258" s="18">
        <f t="shared" si="35"/>
        <v>5.3331796405132239E-5</v>
      </c>
      <c r="AE258" s="9">
        <v>67.8</v>
      </c>
      <c r="AF258" s="10">
        <v>74.400000000000006</v>
      </c>
      <c r="AG258" s="10">
        <v>80.599999999999994</v>
      </c>
      <c r="AH258" s="10">
        <v>84.8</v>
      </c>
      <c r="AI258" s="10">
        <v>73.2</v>
      </c>
      <c r="AJ258" s="10">
        <v>75.599999999999994</v>
      </c>
      <c r="AK258" s="11">
        <v>26563.374899999999</v>
      </c>
      <c r="AL258" s="11">
        <v>46.133226999999998</v>
      </c>
      <c r="AM258" s="11">
        <v>3659.2655129999998</v>
      </c>
      <c r="AN258" s="11">
        <v>26.3</v>
      </c>
      <c r="AO258" s="11">
        <v>66.986000000000004</v>
      </c>
      <c r="AP258" s="19">
        <v>1.6600371700000001</v>
      </c>
    </row>
    <row r="259" spans="2:42">
      <c r="B259" t="s">
        <v>119</v>
      </c>
      <c r="C259" t="s">
        <v>120</v>
      </c>
      <c r="D259" t="s">
        <v>121</v>
      </c>
      <c r="E259" t="s">
        <v>35</v>
      </c>
      <c r="F259" t="s">
        <v>36</v>
      </c>
      <c r="G259" t="s">
        <v>37</v>
      </c>
      <c r="H259" t="s">
        <v>38</v>
      </c>
      <c r="I259" t="s">
        <v>39</v>
      </c>
      <c r="J259" t="s">
        <v>40</v>
      </c>
      <c r="K259">
        <v>2013</v>
      </c>
      <c r="L259">
        <v>0.79136155781197504</v>
      </c>
      <c r="M259" s="7">
        <v>11.835066960000001</v>
      </c>
      <c r="N259" s="7">
        <f t="shared" ref="N259:N322" si="36">M259/AK259</f>
        <v>1.1726594553191631E-4</v>
      </c>
      <c r="O259" s="8">
        <v>0.48185291400000002</v>
      </c>
      <c r="P259" s="8">
        <f t="shared" ref="P259:P322" si="37">O259/AK259</f>
        <v>4.7743656844945436E-6</v>
      </c>
      <c r="Q259" s="8">
        <v>9.8617619999999996E-3</v>
      </c>
      <c r="R259" s="8">
        <f t="shared" ref="R259:R322" si="38">Q259/AK259</f>
        <v>9.7713756031061941E-8</v>
      </c>
      <c r="S259" s="8">
        <v>2.4181541000000001E-2</v>
      </c>
      <c r="T259" s="8">
        <f t="shared" ref="T259:T322" si="39">S259/AK259</f>
        <v>2.3959908966867399E-7</v>
      </c>
      <c r="U259" s="8">
        <v>2.3554740000000002E-3</v>
      </c>
      <c r="V259" s="8">
        <f t="shared" ref="V259:V322" si="40">U259/AK259</f>
        <v>2.3338852810837417E-8</v>
      </c>
      <c r="W259" s="8">
        <v>2.3862449999999999E-3</v>
      </c>
      <c r="X259" s="8">
        <f t="shared" ref="X259:X322" si="41">V259/AK259</f>
        <v>2.3124944301059301E-13</v>
      </c>
      <c r="Y259" s="8"/>
      <c r="Z259" s="8">
        <f t="shared" ref="Z259:Z322" si="42">Y259/AK259</f>
        <v>0</v>
      </c>
      <c r="AA259" s="8">
        <v>5.6234140000000002E-3</v>
      </c>
      <c r="AB259" s="8">
        <f t="shared" ref="AB259:AB322" si="43">AA259/AK259</f>
        <v>5.5718735014864306E-8</v>
      </c>
      <c r="AC259" s="8">
        <v>8.9868148999999994E-2</v>
      </c>
      <c r="AD259" s="18">
        <f t="shared" ref="AD259:AD322" si="44">AC259/AK259</f>
        <v>8.9044476903307173E-7</v>
      </c>
      <c r="AE259" s="9">
        <v>97.2</v>
      </c>
      <c r="AF259" s="10">
        <v>93.8</v>
      </c>
      <c r="AG259" s="10">
        <v>95.3</v>
      </c>
      <c r="AH259" s="10">
        <v>96.7</v>
      </c>
      <c r="AI259" s="10">
        <v>96.7</v>
      </c>
      <c r="AJ259" s="10">
        <v>98.6</v>
      </c>
      <c r="AK259" s="11">
        <v>100925.012</v>
      </c>
      <c r="AL259" s="11">
        <v>50.837845600000001</v>
      </c>
      <c r="AM259" s="11">
        <v>14134.27562</v>
      </c>
      <c r="AN259" s="11">
        <v>5.7</v>
      </c>
      <c r="AO259" s="11">
        <v>89.573999999999998</v>
      </c>
      <c r="AP259" s="19">
        <v>35.732903499999999</v>
      </c>
    </row>
    <row r="260" spans="2:42">
      <c r="B260" t="s">
        <v>122</v>
      </c>
      <c r="C260" t="s">
        <v>123</v>
      </c>
      <c r="D260" t="s">
        <v>124</v>
      </c>
      <c r="E260" t="s">
        <v>35</v>
      </c>
      <c r="F260" t="s">
        <v>36</v>
      </c>
      <c r="G260" t="s">
        <v>37</v>
      </c>
      <c r="H260" t="s">
        <v>38</v>
      </c>
      <c r="I260" t="s">
        <v>39</v>
      </c>
      <c r="J260" t="s">
        <v>40</v>
      </c>
      <c r="K260">
        <v>2013</v>
      </c>
      <c r="L260">
        <v>1.39307897630327</v>
      </c>
      <c r="M260" s="7">
        <v>8.6749673999999999E-2</v>
      </c>
      <c r="N260" s="7">
        <f t="shared" si="36"/>
        <v>2.6178175738321619E-6</v>
      </c>
      <c r="O260" s="8">
        <v>5.3511046E-2</v>
      </c>
      <c r="P260" s="8">
        <f t="shared" si="37"/>
        <v>1.6147859715638955E-6</v>
      </c>
      <c r="Q260" s="8">
        <v>7.4030700000000005E-4</v>
      </c>
      <c r="R260" s="8">
        <f t="shared" si="38"/>
        <v>2.2340011037170771E-8</v>
      </c>
      <c r="S260" s="16">
        <v>6.8670000000000005E-5</v>
      </c>
      <c r="T260" s="8">
        <f t="shared" si="39"/>
        <v>2.0722329491988012E-9</v>
      </c>
      <c r="U260" s="14">
        <v>5.9067400000000003E-5</v>
      </c>
      <c r="V260" s="8">
        <f t="shared" si="40"/>
        <v>1.7824583151813787E-9</v>
      </c>
      <c r="W260" s="8">
        <v>1.1101100000000001E-3</v>
      </c>
      <c r="X260" s="8">
        <f t="shared" si="41"/>
        <v>5.3788682849748574E-14</v>
      </c>
      <c r="Y260" s="8"/>
      <c r="Z260" s="8">
        <f t="shared" si="42"/>
        <v>0</v>
      </c>
      <c r="AA260" s="8">
        <v>1.287601E-3</v>
      </c>
      <c r="AB260" s="8">
        <f t="shared" si="43"/>
        <v>3.8855529599844553E-8</v>
      </c>
      <c r="AC260" s="8">
        <v>7.7516847E-2</v>
      </c>
      <c r="AD260" s="18">
        <f t="shared" si="44"/>
        <v>2.3392014631047364E-6</v>
      </c>
      <c r="AE260" s="9">
        <v>80.599999999999994</v>
      </c>
      <c r="AF260" s="10">
        <v>86.3</v>
      </c>
      <c r="AG260" s="10">
        <v>83.9</v>
      </c>
      <c r="AH260" s="10">
        <v>88.2</v>
      </c>
      <c r="AI260" s="10">
        <v>87.8</v>
      </c>
      <c r="AJ260" s="10">
        <v>87.8</v>
      </c>
      <c r="AK260" s="11">
        <v>33138.166259999998</v>
      </c>
      <c r="AL260" s="11">
        <v>31.96875</v>
      </c>
      <c r="AM260" s="11">
        <v>4858.6426869999996</v>
      </c>
      <c r="AN260" s="11">
        <v>3.2</v>
      </c>
      <c r="AO260" s="11">
        <v>94.278999999999996</v>
      </c>
      <c r="AP260" s="19">
        <v>4.7241645500000002</v>
      </c>
    </row>
    <row r="261" spans="2:42">
      <c r="B261" t="s">
        <v>125</v>
      </c>
      <c r="C261" t="s">
        <v>126</v>
      </c>
      <c r="D261" t="s">
        <v>127</v>
      </c>
      <c r="E261" t="s">
        <v>35</v>
      </c>
      <c r="F261" t="s">
        <v>36</v>
      </c>
      <c r="G261" t="s">
        <v>37</v>
      </c>
      <c r="H261" t="s">
        <v>38</v>
      </c>
      <c r="I261" t="s">
        <v>39</v>
      </c>
      <c r="J261" t="s">
        <v>40</v>
      </c>
      <c r="K261">
        <v>2013</v>
      </c>
      <c r="L261">
        <v>0.550944287950762</v>
      </c>
      <c r="M261" s="7">
        <v>278.5973722</v>
      </c>
      <c r="N261" s="7">
        <f t="shared" si="36"/>
        <v>1.5286350651395102E-2</v>
      </c>
      <c r="O261" s="8">
        <v>3.2976338000000001E-2</v>
      </c>
      <c r="P261" s="8">
        <f t="shared" si="37"/>
        <v>1.8093776760573661E-6</v>
      </c>
      <c r="Q261" s="8">
        <v>2.4671609999999998E-3</v>
      </c>
      <c r="R261" s="8">
        <f t="shared" si="38"/>
        <v>1.3537058107056541E-7</v>
      </c>
      <c r="S261" s="8">
        <v>2.8644E-3</v>
      </c>
      <c r="T261" s="8">
        <f t="shared" si="39"/>
        <v>1.5716667555077582E-7</v>
      </c>
      <c r="U261" s="8">
        <v>1.794447E-3</v>
      </c>
      <c r="V261" s="8">
        <f t="shared" si="40"/>
        <v>9.845945728322267E-8</v>
      </c>
      <c r="W261" s="8">
        <v>7.1001220000000004E-3</v>
      </c>
      <c r="X261" s="8">
        <f t="shared" si="41"/>
        <v>5.4023689351130176E-12</v>
      </c>
      <c r="Y261" s="8"/>
      <c r="Z261" s="8">
        <f t="shared" si="42"/>
        <v>0</v>
      </c>
      <c r="AA261" s="8">
        <v>6.1087229999999999E-3</v>
      </c>
      <c r="AB261" s="8">
        <f t="shared" si="43"/>
        <v>3.3517933451004113E-7</v>
      </c>
      <c r="AC261" s="8">
        <v>0.47957315700000003</v>
      </c>
      <c r="AD261" s="18">
        <f t="shared" si="44"/>
        <v>2.6313684809761303E-5</v>
      </c>
      <c r="AE261" s="9">
        <v>63.5</v>
      </c>
      <c r="AF261" s="10">
        <v>76.8</v>
      </c>
      <c r="AG261" s="10">
        <v>78.2</v>
      </c>
      <c r="AH261" s="10">
        <v>77.3</v>
      </c>
      <c r="AI261" s="10">
        <v>79.8</v>
      </c>
      <c r="AJ261" s="10">
        <v>75.099999999999994</v>
      </c>
      <c r="AK261" s="11">
        <v>18225.237570000001</v>
      </c>
      <c r="AL261" s="11">
        <v>43.064596899999998</v>
      </c>
      <c r="AM261" s="11">
        <v>2147.8608370000002</v>
      </c>
      <c r="AN261" s="11">
        <v>11.4</v>
      </c>
      <c r="AO261" s="11">
        <v>41.222000000000001</v>
      </c>
      <c r="AP261" s="19">
        <v>2.3864782999999998</v>
      </c>
    </row>
    <row r="262" spans="2:42">
      <c r="B262" t="s">
        <v>128</v>
      </c>
      <c r="C262" t="s">
        <v>129</v>
      </c>
      <c r="D262" t="s">
        <v>130</v>
      </c>
      <c r="E262" t="s">
        <v>35</v>
      </c>
      <c r="F262" t="s">
        <v>36</v>
      </c>
      <c r="G262" t="s">
        <v>37</v>
      </c>
      <c r="H262" t="s">
        <v>38</v>
      </c>
      <c r="I262" t="s">
        <v>39</v>
      </c>
      <c r="J262" t="s">
        <v>40</v>
      </c>
      <c r="K262">
        <v>2013</v>
      </c>
      <c r="L262">
        <v>0.32685569889642302</v>
      </c>
      <c r="M262" s="7">
        <v>278.5973722</v>
      </c>
      <c r="N262" s="7">
        <f t="shared" si="36"/>
        <v>3.3841064878645674E-2</v>
      </c>
      <c r="O262" s="8">
        <v>1.1018208629999999</v>
      </c>
      <c r="P262" s="8">
        <f t="shared" si="37"/>
        <v>1.3383755566316274E-4</v>
      </c>
      <c r="Q262" s="8">
        <v>0.22572521600000001</v>
      </c>
      <c r="R262" s="8">
        <f t="shared" si="38"/>
        <v>2.7418714035531413E-5</v>
      </c>
      <c r="S262" s="8">
        <v>9.5470596000000005E-2</v>
      </c>
      <c r="T262" s="8">
        <f t="shared" si="39"/>
        <v>1.1596759178760735E-5</v>
      </c>
      <c r="U262" s="8">
        <v>9.9239800000000002E-4</v>
      </c>
      <c r="V262" s="8">
        <f t="shared" si="40"/>
        <v>1.2054602252073293E-7</v>
      </c>
      <c r="W262" s="8">
        <v>1.8964229999999999E-3</v>
      </c>
      <c r="X262" s="8">
        <f t="shared" si="41"/>
        <v>1.4642657024267534E-11</v>
      </c>
      <c r="Y262" s="8"/>
      <c r="Z262" s="8">
        <f t="shared" si="42"/>
        <v>0</v>
      </c>
      <c r="AA262" s="8">
        <v>7.840306E-3</v>
      </c>
      <c r="AB262" s="8">
        <f t="shared" si="43"/>
        <v>9.5235752555470436E-7</v>
      </c>
      <c r="AC262" s="8">
        <v>0.83268544799999999</v>
      </c>
      <c r="AD262" s="18">
        <f t="shared" si="44"/>
        <v>1.0114582936210531E-4</v>
      </c>
      <c r="AE262" s="9">
        <v>23.7</v>
      </c>
      <c r="AF262" s="10">
        <v>41.7</v>
      </c>
      <c r="AG262" s="10">
        <v>46</v>
      </c>
      <c r="AH262" s="10">
        <v>49.3</v>
      </c>
      <c r="AI262" s="10">
        <v>43.2</v>
      </c>
      <c r="AJ262" s="10">
        <v>46</v>
      </c>
      <c r="AK262" s="11">
        <v>8232.5238050000007</v>
      </c>
      <c r="AL262" s="11">
        <v>74.847931900000006</v>
      </c>
      <c r="AM262" s="11">
        <v>1880.0108270000001</v>
      </c>
      <c r="AN262" s="11">
        <v>23.8</v>
      </c>
      <c r="AO262" s="11">
        <v>42.527000000000001</v>
      </c>
      <c r="AP262" s="19">
        <v>2.5469852099999999</v>
      </c>
    </row>
    <row r="263" spans="2:42">
      <c r="B263" t="s">
        <v>131</v>
      </c>
      <c r="C263" t="s">
        <v>132</v>
      </c>
      <c r="D263" t="s">
        <v>133</v>
      </c>
      <c r="E263" t="s">
        <v>35</v>
      </c>
      <c r="F263" t="s">
        <v>36</v>
      </c>
      <c r="G263" t="s">
        <v>37</v>
      </c>
      <c r="H263" t="s">
        <v>38</v>
      </c>
      <c r="I263" t="s">
        <v>39</v>
      </c>
      <c r="J263" t="s">
        <v>40</v>
      </c>
      <c r="K263">
        <v>2013</v>
      </c>
      <c r="L263">
        <v>1.5349837916734199</v>
      </c>
      <c r="M263" s="7">
        <v>10.925265080000001</v>
      </c>
      <c r="N263" s="7">
        <f t="shared" si="36"/>
        <v>2.20169554632823E-4</v>
      </c>
      <c r="O263" s="8">
        <v>12.99043792</v>
      </c>
      <c r="P263" s="8">
        <f t="shared" si="37"/>
        <v>2.617876006109442E-4</v>
      </c>
      <c r="Q263" s="8">
        <v>0.28066778599999997</v>
      </c>
      <c r="R263" s="8">
        <f t="shared" si="38"/>
        <v>5.6561100340277019E-6</v>
      </c>
      <c r="S263" s="8">
        <v>3.1062430019999998</v>
      </c>
      <c r="T263" s="8">
        <f t="shared" si="39"/>
        <v>6.2598036141349448E-5</v>
      </c>
      <c r="U263" s="8">
        <v>1.6189623E-2</v>
      </c>
      <c r="V263" s="8">
        <f t="shared" si="40"/>
        <v>3.2625863624201488E-7</v>
      </c>
      <c r="W263" s="8">
        <v>0.12762352599999999</v>
      </c>
      <c r="X263" s="8">
        <f t="shared" si="41"/>
        <v>6.5748719239786736E-12</v>
      </c>
      <c r="Y263" s="8">
        <v>8.9468445999999993E-2</v>
      </c>
      <c r="Z263" s="8">
        <f t="shared" si="42"/>
        <v>1.8029977090048575E-6</v>
      </c>
      <c r="AA263" s="8">
        <v>8.2945080000000004E-2</v>
      </c>
      <c r="AB263" s="8">
        <f t="shared" si="43"/>
        <v>1.6715366802417094E-6</v>
      </c>
      <c r="AC263" s="8">
        <v>4.9521865509999996</v>
      </c>
      <c r="AD263" s="18">
        <f t="shared" si="44"/>
        <v>9.9798100953018306E-5</v>
      </c>
      <c r="AE263" s="9">
        <v>96.2</v>
      </c>
      <c r="AF263" s="10">
        <v>97.6</v>
      </c>
      <c r="AG263" s="10">
        <v>91</v>
      </c>
      <c r="AH263" s="10">
        <v>95.7</v>
      </c>
      <c r="AI263" s="10">
        <v>97.2</v>
      </c>
      <c r="AJ263" s="10">
        <v>96.7</v>
      </c>
      <c r="AK263" s="11">
        <v>49622.051959999997</v>
      </c>
      <c r="AL263" s="11">
        <v>54.841199199999998</v>
      </c>
      <c r="AM263" s="11">
        <v>6827.6035750000001</v>
      </c>
      <c r="AN263" s="11">
        <v>5</v>
      </c>
      <c r="AO263" s="11">
        <v>89.186999999999998</v>
      </c>
      <c r="AP263" s="19">
        <v>35.131467100000002</v>
      </c>
    </row>
    <row r="264" spans="2:42">
      <c r="B264" t="s">
        <v>134</v>
      </c>
      <c r="C264" t="s">
        <v>135</v>
      </c>
      <c r="D264" t="s">
        <v>136</v>
      </c>
      <c r="E264" t="s">
        <v>35</v>
      </c>
      <c r="F264" t="s">
        <v>36</v>
      </c>
      <c r="G264" t="s">
        <v>37</v>
      </c>
      <c r="H264" t="s">
        <v>38</v>
      </c>
      <c r="I264" t="s">
        <v>39</v>
      </c>
      <c r="J264" t="s">
        <v>40</v>
      </c>
      <c r="K264">
        <v>2013</v>
      </c>
      <c r="L264">
        <v>0.80075565963277195</v>
      </c>
      <c r="M264" s="7">
        <v>85.628292930000001</v>
      </c>
      <c r="N264" s="7">
        <f t="shared" si="36"/>
        <v>1.2708656635958325E-3</v>
      </c>
      <c r="O264" s="8">
        <v>2.739127002</v>
      </c>
      <c r="P264" s="8">
        <f t="shared" si="37"/>
        <v>4.0653180578009609E-5</v>
      </c>
      <c r="Q264" s="8">
        <v>0.198483883</v>
      </c>
      <c r="R264" s="8">
        <f t="shared" si="38"/>
        <v>2.9458295039010137E-6</v>
      </c>
      <c r="S264" s="8">
        <v>4.7582549820000004</v>
      </c>
      <c r="T264" s="8">
        <f t="shared" si="39"/>
        <v>7.0620383384275022E-5</v>
      </c>
      <c r="U264" s="8">
        <v>3.2087899000000003E-2</v>
      </c>
      <c r="V264" s="8">
        <f t="shared" si="40"/>
        <v>4.7623755724486633E-7</v>
      </c>
      <c r="W264" s="8">
        <v>1.8166547000000002E-2</v>
      </c>
      <c r="X264" s="8">
        <f t="shared" si="41"/>
        <v>7.0681539770041441E-12</v>
      </c>
      <c r="Y264" s="8">
        <v>0.10773775200000001</v>
      </c>
      <c r="Z264" s="8">
        <f t="shared" si="42"/>
        <v>1.5990066484419316E-6</v>
      </c>
      <c r="AA264" s="8">
        <v>2.8011949000000001E-2</v>
      </c>
      <c r="AB264" s="8">
        <f t="shared" si="43"/>
        <v>4.1574370965913896E-7</v>
      </c>
      <c r="AC264" s="8">
        <v>0.56263248899999996</v>
      </c>
      <c r="AD264" s="18">
        <f t="shared" si="44"/>
        <v>8.3503978302835931E-6</v>
      </c>
      <c r="AE264" s="9">
        <v>99.1</v>
      </c>
      <c r="AF264" s="10">
        <v>98.6</v>
      </c>
      <c r="AG264" s="10">
        <v>95.7</v>
      </c>
      <c r="AH264" s="10">
        <v>94.8</v>
      </c>
      <c r="AI264" s="10">
        <v>100</v>
      </c>
      <c r="AJ264" s="10">
        <v>100</v>
      </c>
      <c r="AK264" s="11">
        <v>67377.926229999997</v>
      </c>
      <c r="AL264" s="11">
        <v>2.7035900499999999</v>
      </c>
      <c r="AM264" s="11">
        <v>23821.84662</v>
      </c>
      <c r="AN264" s="11">
        <v>56.6</v>
      </c>
      <c r="AO264" s="11">
        <v>80.286000000000001</v>
      </c>
      <c r="AP264" s="19">
        <v>-0.26018429999999998</v>
      </c>
    </row>
    <row r="265" spans="2:42">
      <c r="B265" t="s">
        <v>137</v>
      </c>
      <c r="C265" t="s">
        <v>138</v>
      </c>
      <c r="D265" t="s">
        <v>139</v>
      </c>
      <c r="E265" t="s">
        <v>35</v>
      </c>
      <c r="F265" t="s">
        <v>36</v>
      </c>
      <c r="G265" t="s">
        <v>37</v>
      </c>
      <c r="H265" t="s">
        <v>38</v>
      </c>
      <c r="I265" t="s">
        <v>39</v>
      </c>
      <c r="J265" t="s">
        <v>40</v>
      </c>
      <c r="K265">
        <v>2013</v>
      </c>
      <c r="L265">
        <v>0.627494384456314</v>
      </c>
      <c r="M265" s="7">
        <v>1.100422204</v>
      </c>
      <c r="N265" s="7">
        <f t="shared" si="36"/>
        <v>4.5036714972421403E-5</v>
      </c>
      <c r="O265" s="8">
        <v>18.531993969999998</v>
      </c>
      <c r="P265" s="8">
        <f t="shared" si="37"/>
        <v>7.5845446162727751E-4</v>
      </c>
      <c r="Q265" s="8">
        <v>4.0869852040000003</v>
      </c>
      <c r="R265" s="8">
        <f t="shared" si="38"/>
        <v>1.6726706082445747E-4</v>
      </c>
      <c r="S265" s="8">
        <v>22.302455089999999</v>
      </c>
      <c r="T265" s="8">
        <f t="shared" si="39"/>
        <v>9.1276721736665255E-4</v>
      </c>
      <c r="U265" s="8">
        <v>0.10538232</v>
      </c>
      <c r="V265" s="8">
        <f t="shared" si="40"/>
        <v>4.3129568739350005E-6</v>
      </c>
      <c r="W265" s="8">
        <v>0.115693247</v>
      </c>
      <c r="X265" s="8">
        <f t="shared" si="41"/>
        <v>1.7651534903030386E-10</v>
      </c>
      <c r="Y265" s="8">
        <v>2.3565642000000001E-2</v>
      </c>
      <c r="Z265" s="8">
        <f t="shared" si="42"/>
        <v>9.6446536432858332E-7</v>
      </c>
      <c r="AA265" s="8">
        <v>0.19787706699999999</v>
      </c>
      <c r="AB265" s="8">
        <f t="shared" si="43"/>
        <v>8.0984671462133927E-6</v>
      </c>
      <c r="AC265" s="8">
        <v>10.2855764</v>
      </c>
      <c r="AD265" s="18">
        <f t="shared" si="44"/>
        <v>4.20955312397408E-4</v>
      </c>
      <c r="AE265" s="9">
        <v>73</v>
      </c>
      <c r="AF265" s="10">
        <v>70.599999999999994</v>
      </c>
      <c r="AG265" s="10">
        <v>81.5</v>
      </c>
      <c r="AH265" s="10">
        <v>80.599999999999994</v>
      </c>
      <c r="AI265" s="10">
        <v>74.2</v>
      </c>
      <c r="AJ265" s="10">
        <v>79.3</v>
      </c>
      <c r="AK265" s="11">
        <v>24433.89143</v>
      </c>
      <c r="AL265" s="11">
        <v>47.059207700000002</v>
      </c>
      <c r="AM265" s="11">
        <v>3938.255208</v>
      </c>
      <c r="AN265" s="11">
        <v>11.4</v>
      </c>
      <c r="AO265" s="11">
        <v>60.529000000000003</v>
      </c>
      <c r="AP265" s="19">
        <v>0.25898345</v>
      </c>
    </row>
    <row r="266" spans="2:42">
      <c r="B266" t="s">
        <v>140</v>
      </c>
      <c r="C266" t="s">
        <v>141</v>
      </c>
      <c r="D266" t="s">
        <v>142</v>
      </c>
      <c r="E266" t="s">
        <v>35</v>
      </c>
      <c r="F266" t="s">
        <v>36</v>
      </c>
      <c r="G266" t="s">
        <v>37</v>
      </c>
      <c r="H266" t="s">
        <v>38</v>
      </c>
      <c r="I266" t="s">
        <v>39</v>
      </c>
      <c r="J266" t="s">
        <v>40</v>
      </c>
      <c r="K266">
        <v>2013</v>
      </c>
      <c r="L266">
        <v>0.66298595303131003</v>
      </c>
      <c r="M266" s="7">
        <v>62.61074756</v>
      </c>
      <c r="N266" s="7">
        <f t="shared" si="36"/>
        <v>2.2388096910844852E-3</v>
      </c>
      <c r="O266" s="8">
        <v>4.6284915099999999</v>
      </c>
      <c r="P266" s="8">
        <f t="shared" si="37"/>
        <v>1.6550372023205822E-4</v>
      </c>
      <c r="Q266" s="8">
        <v>0.28904892599999998</v>
      </c>
      <c r="R266" s="8">
        <f t="shared" si="38"/>
        <v>1.0335694141109248E-5</v>
      </c>
      <c r="S266" s="8">
        <v>0.43046868500000002</v>
      </c>
      <c r="T266" s="8">
        <f t="shared" si="39"/>
        <v>1.5392524466551739E-5</v>
      </c>
      <c r="U266" s="8">
        <v>4.6978618999999999E-2</v>
      </c>
      <c r="V266" s="8">
        <f t="shared" si="40"/>
        <v>1.6798423847307552E-6</v>
      </c>
      <c r="W266" s="8">
        <v>3.4173821E-2</v>
      </c>
      <c r="X266" s="8">
        <f t="shared" si="41"/>
        <v>6.0067121971761474E-11</v>
      </c>
      <c r="Y266" s="8">
        <v>2.5160680000000002E-3</v>
      </c>
      <c r="Z266" s="8">
        <f t="shared" si="42"/>
        <v>8.9968538012254947E-8</v>
      </c>
      <c r="AA266" s="8">
        <v>2.7019257000000001E-2</v>
      </c>
      <c r="AB266" s="8">
        <f t="shared" si="43"/>
        <v>9.661436219002767E-7</v>
      </c>
      <c r="AC266" s="8">
        <v>3.2733944880000001</v>
      </c>
      <c r="AD266" s="18">
        <f t="shared" si="44"/>
        <v>1.1704871109315559E-4</v>
      </c>
      <c r="AE266" s="9">
        <v>79.099999999999994</v>
      </c>
      <c r="AF266" s="10">
        <v>83.9</v>
      </c>
      <c r="AG266" s="10">
        <v>68.7</v>
      </c>
      <c r="AH266" s="10">
        <v>75.400000000000006</v>
      </c>
      <c r="AI266" s="10">
        <v>83.1</v>
      </c>
      <c r="AJ266" s="10">
        <v>82.6</v>
      </c>
      <c r="AK266" s="11">
        <v>27966.08743</v>
      </c>
      <c r="AL266" s="11">
        <v>40.402728199999999</v>
      </c>
      <c r="AM266" s="11">
        <v>4685.1504139999997</v>
      </c>
      <c r="AN266" s="11">
        <v>30.2</v>
      </c>
      <c r="AO266" s="11">
        <v>62.351999999999997</v>
      </c>
      <c r="AP266" s="19">
        <v>6.4365432299999998</v>
      </c>
    </row>
    <row r="267" spans="2:42">
      <c r="B267" t="s">
        <v>143</v>
      </c>
      <c r="C267" t="s">
        <v>144</v>
      </c>
      <c r="D267" t="s">
        <v>145</v>
      </c>
      <c r="E267" t="s">
        <v>35</v>
      </c>
      <c r="F267" t="s">
        <v>36</v>
      </c>
      <c r="G267" t="s">
        <v>37</v>
      </c>
      <c r="H267" t="s">
        <v>38</v>
      </c>
      <c r="I267" t="s">
        <v>39</v>
      </c>
      <c r="J267" t="s">
        <v>40</v>
      </c>
      <c r="K267">
        <v>2013</v>
      </c>
      <c r="L267">
        <v>0.806875561248933</v>
      </c>
      <c r="M267" s="7">
        <v>10.86788894</v>
      </c>
      <c r="N267" s="7">
        <f t="shared" si="36"/>
        <v>5.5228265484985172E-4</v>
      </c>
      <c r="O267" s="8">
        <v>9.4112687869999991</v>
      </c>
      <c r="P267" s="8">
        <f t="shared" si="37"/>
        <v>4.7826036315659143E-4</v>
      </c>
      <c r="Q267" s="8">
        <v>1.1611141700000001</v>
      </c>
      <c r="R267" s="8">
        <f t="shared" si="38"/>
        <v>5.9005315561439855E-5</v>
      </c>
      <c r="S267" s="8">
        <v>3.6149508899999998</v>
      </c>
      <c r="T267" s="8">
        <f t="shared" si="39"/>
        <v>1.8370400044601801E-4</v>
      </c>
      <c r="U267" s="8">
        <v>2.0528061E-2</v>
      </c>
      <c r="V267" s="8">
        <f t="shared" si="40"/>
        <v>1.043191745019774E-6</v>
      </c>
      <c r="W267" s="8">
        <v>1.4558295000000001E-2</v>
      </c>
      <c r="X267" s="8">
        <f t="shared" si="41"/>
        <v>5.3012752489258545E-11</v>
      </c>
      <c r="Y267" s="8">
        <v>4.3649082999999998E-2</v>
      </c>
      <c r="Z267" s="8">
        <f t="shared" si="42"/>
        <v>2.2181521704988576E-6</v>
      </c>
      <c r="AA267" s="8">
        <v>2.5499614E-2</v>
      </c>
      <c r="AB267" s="8">
        <f t="shared" si="43"/>
        <v>1.2958353361279793E-6</v>
      </c>
      <c r="AC267" s="8">
        <v>6.8311263740000001</v>
      </c>
      <c r="AD267" s="18">
        <f t="shared" si="44"/>
        <v>3.4714309561646674E-4</v>
      </c>
      <c r="AE267" s="9">
        <v>47.9</v>
      </c>
      <c r="AF267" s="10">
        <v>59.2</v>
      </c>
      <c r="AG267" s="10">
        <v>54</v>
      </c>
      <c r="AH267" s="10">
        <v>71.599999999999994</v>
      </c>
      <c r="AI267" s="10">
        <v>58.7</v>
      </c>
      <c r="AJ267" s="10">
        <v>57.7</v>
      </c>
      <c r="AK267" s="11">
        <v>19678.1283</v>
      </c>
      <c r="AL267" s="11">
        <v>60.448637099999999</v>
      </c>
      <c r="AM267" s="11">
        <v>2494.5339180000001</v>
      </c>
      <c r="AN267" s="11">
        <v>23.1</v>
      </c>
      <c r="AO267" s="11">
        <v>53.936999999999998</v>
      </c>
      <c r="AP267" s="19">
        <v>2.03100514</v>
      </c>
    </row>
    <row r="268" spans="2:42">
      <c r="B268" t="s">
        <v>146</v>
      </c>
      <c r="C268" t="s">
        <v>147</v>
      </c>
      <c r="D268" t="s">
        <v>148</v>
      </c>
      <c r="E268" t="s">
        <v>35</v>
      </c>
      <c r="F268" t="s">
        <v>36</v>
      </c>
      <c r="G268" t="s">
        <v>37</v>
      </c>
      <c r="H268" t="s">
        <v>38</v>
      </c>
      <c r="I268" t="s">
        <v>39</v>
      </c>
      <c r="J268" t="s">
        <v>40</v>
      </c>
      <c r="K268">
        <v>2013</v>
      </c>
      <c r="L268">
        <v>0.8816246346876</v>
      </c>
      <c r="M268" s="7">
        <v>0.88799752899999995</v>
      </c>
      <c r="N268" s="7">
        <f t="shared" si="36"/>
        <v>3.1628988269531426E-5</v>
      </c>
      <c r="O268" s="8">
        <v>1.734702609</v>
      </c>
      <c r="P268" s="8">
        <f t="shared" si="37"/>
        <v>6.1787208499300409E-5</v>
      </c>
      <c r="Q268" s="8">
        <v>4.0451858E-2</v>
      </c>
      <c r="R268" s="8">
        <f t="shared" si="38"/>
        <v>1.4408275928465461E-6</v>
      </c>
      <c r="S268" s="8">
        <v>0.91978507700000001</v>
      </c>
      <c r="T268" s="8">
        <f t="shared" si="39"/>
        <v>3.2761207616967435E-5</v>
      </c>
      <c r="U268" s="8">
        <v>1.9219747999999998E-2</v>
      </c>
      <c r="V268" s="8">
        <f t="shared" si="40"/>
        <v>6.8457531038394372E-7</v>
      </c>
      <c r="W268" s="8">
        <v>2.1570369999999998E-2</v>
      </c>
      <c r="X268" s="8">
        <f t="shared" si="41"/>
        <v>2.4383428731077689E-11</v>
      </c>
      <c r="Y268" s="8">
        <v>1.2173075E-2</v>
      </c>
      <c r="Z268" s="8">
        <f t="shared" si="42"/>
        <v>4.3358459207956453E-7</v>
      </c>
      <c r="AA268" s="8">
        <v>7.5471499999999999E-3</v>
      </c>
      <c r="AB268" s="8">
        <f t="shared" si="43"/>
        <v>2.6881687282081852E-7</v>
      </c>
      <c r="AC268" s="8">
        <v>3.4028833039999999</v>
      </c>
      <c r="AD268" s="18">
        <f t="shared" si="44"/>
        <v>1.2120501757026888E-4</v>
      </c>
      <c r="AE268" s="9">
        <v>59.2</v>
      </c>
      <c r="AF268" s="10">
        <v>72</v>
      </c>
      <c r="AG268" s="10">
        <v>89.1</v>
      </c>
      <c r="AH268" s="10">
        <v>78.7</v>
      </c>
      <c r="AI268" s="10">
        <v>64.3</v>
      </c>
      <c r="AJ268" s="10">
        <v>76.5</v>
      </c>
      <c r="AK268" s="11">
        <v>28075.43262</v>
      </c>
      <c r="AL268" s="11">
        <v>39.373648299999999</v>
      </c>
      <c r="AM268" s="11">
        <v>5202.4672879999998</v>
      </c>
      <c r="AN268" s="11">
        <v>10.7</v>
      </c>
      <c r="AO268" s="11">
        <v>54.14</v>
      </c>
      <c r="AP268" s="19">
        <v>1.01266879</v>
      </c>
    </row>
    <row r="269" spans="2:42">
      <c r="B269" t="s">
        <v>149</v>
      </c>
      <c r="C269" t="s">
        <v>150</v>
      </c>
      <c r="D269" t="s">
        <v>151</v>
      </c>
      <c r="E269" t="s">
        <v>35</v>
      </c>
      <c r="F269" t="s">
        <v>36</v>
      </c>
      <c r="G269" t="s">
        <v>37</v>
      </c>
      <c r="H269" t="s">
        <v>38</v>
      </c>
      <c r="I269" t="s">
        <v>39</v>
      </c>
      <c r="J269" t="s">
        <v>40</v>
      </c>
      <c r="K269">
        <v>2013</v>
      </c>
      <c r="L269">
        <v>0.74452670878332605</v>
      </c>
      <c r="M269" s="7">
        <v>54.91122635</v>
      </c>
      <c r="N269" s="7">
        <f t="shared" si="36"/>
        <v>1.8529764627882772E-3</v>
      </c>
      <c r="O269" s="8">
        <v>1.544821512</v>
      </c>
      <c r="P269" s="8">
        <f t="shared" si="37"/>
        <v>5.2129921169480452E-5</v>
      </c>
      <c r="Q269" s="8">
        <v>0.197781401</v>
      </c>
      <c r="R269" s="8">
        <f t="shared" si="38"/>
        <v>6.6741230380532158E-6</v>
      </c>
      <c r="S269" s="8">
        <v>1.21228041</v>
      </c>
      <c r="T269" s="8">
        <f t="shared" si="39"/>
        <v>4.0908339065520109E-5</v>
      </c>
      <c r="U269" s="8">
        <v>4.2054249999999996E-3</v>
      </c>
      <c r="V269" s="8">
        <f t="shared" si="40"/>
        <v>1.4191184679344517E-7</v>
      </c>
      <c r="W269" s="8">
        <v>3.9591349999999999E-3</v>
      </c>
      <c r="X269" s="8">
        <f t="shared" si="41"/>
        <v>4.7888078518404813E-12</v>
      </c>
      <c r="Y269" s="8">
        <v>6.4400000000000004E-3</v>
      </c>
      <c r="Z269" s="8">
        <f t="shared" si="42"/>
        <v>2.1731746335977626E-7</v>
      </c>
      <c r="AA269" s="8">
        <v>8.1471540000000002E-3</v>
      </c>
      <c r="AB269" s="8">
        <f t="shared" si="43"/>
        <v>2.749252858511575E-7</v>
      </c>
      <c r="AC269" s="8">
        <v>0.56256041199999995</v>
      </c>
      <c r="AD269" s="18">
        <f t="shared" si="44"/>
        <v>1.8983571696035809E-5</v>
      </c>
      <c r="AE269" s="9">
        <v>74.400000000000006</v>
      </c>
      <c r="AF269" s="10">
        <v>79.099999999999994</v>
      </c>
      <c r="AG269" s="10">
        <v>74.400000000000006</v>
      </c>
      <c r="AH269" s="10">
        <v>70.599999999999994</v>
      </c>
      <c r="AI269" s="10">
        <v>81.2</v>
      </c>
      <c r="AJ269" s="10">
        <v>79.8</v>
      </c>
      <c r="AK269" s="11">
        <v>29634.065760000001</v>
      </c>
      <c r="AL269" s="11">
        <v>30.298411099999999</v>
      </c>
      <c r="AM269" s="11">
        <v>6779.2808869999999</v>
      </c>
      <c r="AN269" s="11">
        <v>22.5</v>
      </c>
      <c r="AO269" s="11">
        <v>53.332000000000001</v>
      </c>
      <c r="AP269" s="19">
        <v>0.21731587999999999</v>
      </c>
    </row>
    <row r="270" spans="2:42">
      <c r="B270" t="s">
        <v>152</v>
      </c>
      <c r="C270" t="s">
        <v>153</v>
      </c>
      <c r="D270" t="s">
        <v>154</v>
      </c>
      <c r="E270" t="s">
        <v>35</v>
      </c>
      <c r="F270" t="s">
        <v>36</v>
      </c>
      <c r="G270" t="s">
        <v>37</v>
      </c>
      <c r="H270" t="s">
        <v>38</v>
      </c>
      <c r="I270" t="s">
        <v>39</v>
      </c>
      <c r="J270" t="s">
        <v>40</v>
      </c>
      <c r="K270">
        <v>2013</v>
      </c>
      <c r="L270">
        <v>0.85568845139109395</v>
      </c>
      <c r="M270" s="7">
        <v>0.88799752899999995</v>
      </c>
      <c r="N270" s="7">
        <f t="shared" si="36"/>
        <v>2.7227754704443402E-5</v>
      </c>
      <c r="O270" s="8">
        <v>25.164961989999998</v>
      </c>
      <c r="P270" s="8">
        <f t="shared" si="37"/>
        <v>7.7160734104966399E-4</v>
      </c>
      <c r="Q270" s="8">
        <v>1.0497368680000001</v>
      </c>
      <c r="R270" s="8">
        <f t="shared" si="38"/>
        <v>3.2187001666887171E-5</v>
      </c>
      <c r="S270" s="8">
        <v>1.3316791029999999</v>
      </c>
      <c r="T270" s="8">
        <f t="shared" si="39"/>
        <v>4.0831906370673267E-5</v>
      </c>
      <c r="U270" s="8">
        <v>7.5249140000000006E-2</v>
      </c>
      <c r="V270" s="8">
        <f t="shared" si="40"/>
        <v>2.3072869672820007E-6</v>
      </c>
      <c r="W270" s="8">
        <v>0.11276931900000001</v>
      </c>
      <c r="X270" s="8">
        <f t="shared" si="41"/>
        <v>7.0745966656753449E-11</v>
      </c>
      <c r="Y270" s="8">
        <v>3.7966479999999997E-2</v>
      </c>
      <c r="Z270" s="8">
        <f t="shared" si="42"/>
        <v>1.1641271182311548E-6</v>
      </c>
      <c r="AA270" s="8">
        <v>0.16172668700000001</v>
      </c>
      <c r="AB270" s="8">
        <f t="shared" si="43"/>
        <v>4.9588590271835052E-6</v>
      </c>
      <c r="AC270" s="8">
        <v>15.14670327</v>
      </c>
      <c r="AD270" s="18">
        <f t="shared" si="44"/>
        <v>4.6442778019999511E-4</v>
      </c>
      <c r="AE270" s="9">
        <v>79.599999999999994</v>
      </c>
      <c r="AF270" s="10">
        <v>82.9</v>
      </c>
      <c r="AG270" s="10">
        <v>46.9</v>
      </c>
      <c r="AH270" s="10">
        <v>79.099999999999994</v>
      </c>
      <c r="AI270" s="10">
        <v>82.2</v>
      </c>
      <c r="AJ270" s="10">
        <v>78.400000000000006</v>
      </c>
      <c r="AK270" s="11">
        <v>32613.689180000001</v>
      </c>
      <c r="AL270" s="11">
        <v>53.443953499999999</v>
      </c>
      <c r="AM270" s="11">
        <v>5411.2293790000003</v>
      </c>
      <c r="AN270" s="11">
        <v>16.899999999999999</v>
      </c>
      <c r="AO270" s="11">
        <v>79.132999999999996</v>
      </c>
      <c r="AP270" s="19">
        <v>3.4608559099999998</v>
      </c>
    </row>
    <row r="271" spans="2:42">
      <c r="B271" t="s">
        <v>155</v>
      </c>
      <c r="C271" t="s">
        <v>156</v>
      </c>
      <c r="D271" t="s">
        <v>157</v>
      </c>
      <c r="E271" t="s">
        <v>35</v>
      </c>
      <c r="F271" t="s">
        <v>36</v>
      </c>
      <c r="G271" t="s">
        <v>37</v>
      </c>
      <c r="H271" t="s">
        <v>38</v>
      </c>
      <c r="I271" t="s">
        <v>39</v>
      </c>
      <c r="J271" t="s">
        <v>40</v>
      </c>
      <c r="K271">
        <v>2013</v>
      </c>
      <c r="L271">
        <v>0.47116270272801403</v>
      </c>
      <c r="M271" s="7">
        <v>58.776813959999998</v>
      </c>
      <c r="N271" s="7">
        <f t="shared" si="36"/>
        <v>1.2750340139182613E-3</v>
      </c>
      <c r="O271" s="8">
        <v>4.1248771680000003</v>
      </c>
      <c r="P271" s="8">
        <f t="shared" si="37"/>
        <v>8.9480159574726809E-5</v>
      </c>
      <c r="Q271" s="8">
        <v>0.39531812399999999</v>
      </c>
      <c r="R271" s="8">
        <f t="shared" si="38"/>
        <v>8.5755593142795955E-6</v>
      </c>
      <c r="S271" s="8">
        <v>0.14808608100000001</v>
      </c>
      <c r="T271" s="8">
        <f t="shared" si="39"/>
        <v>3.2124026047303428E-6</v>
      </c>
      <c r="U271" s="8">
        <v>0.170590731</v>
      </c>
      <c r="V271" s="8">
        <f t="shared" si="40"/>
        <v>3.700591607980045E-6</v>
      </c>
      <c r="W271" s="8">
        <v>0.19063780699999999</v>
      </c>
      <c r="X271" s="8">
        <f t="shared" si="41"/>
        <v>8.027621529479427E-11</v>
      </c>
      <c r="Y271" s="8">
        <v>1.1174422E-2</v>
      </c>
      <c r="Z271" s="8">
        <f t="shared" si="42"/>
        <v>2.4240456697045041E-7</v>
      </c>
      <c r="AA271" s="8">
        <v>7.6179269999999993E-2</v>
      </c>
      <c r="AB271" s="8">
        <f t="shared" si="43"/>
        <v>1.6525421141670704E-6</v>
      </c>
      <c r="AC271" s="8">
        <v>3.4502858070000002</v>
      </c>
      <c r="AD271" s="18">
        <f t="shared" si="44"/>
        <v>7.4846380150143442E-5</v>
      </c>
      <c r="AE271" s="9">
        <v>98.6</v>
      </c>
      <c r="AF271" s="10">
        <v>97.2</v>
      </c>
      <c r="AG271" s="10">
        <v>90</v>
      </c>
      <c r="AH271" s="10">
        <v>99.1</v>
      </c>
      <c r="AI271" s="10">
        <v>99.1</v>
      </c>
      <c r="AJ271" s="10">
        <v>99.1</v>
      </c>
      <c r="AK271" s="11">
        <v>46098.23214</v>
      </c>
      <c r="AL271" s="11">
        <v>7.4534350600000003</v>
      </c>
      <c r="AM271" s="11">
        <v>13870.38991</v>
      </c>
      <c r="AN271" s="11">
        <v>47.3</v>
      </c>
      <c r="AO271" s="11">
        <v>85.936000000000007</v>
      </c>
      <c r="AP271" s="19">
        <v>0.25469629999999999</v>
      </c>
    </row>
    <row r="272" spans="2:42">
      <c r="B272" t="s">
        <v>158</v>
      </c>
      <c r="C272" t="s">
        <v>159</v>
      </c>
      <c r="D272" t="s">
        <v>160</v>
      </c>
      <c r="E272" t="s">
        <v>35</v>
      </c>
      <c r="F272" t="s">
        <v>36</v>
      </c>
      <c r="G272" t="s">
        <v>37</v>
      </c>
      <c r="H272" t="s">
        <v>38</v>
      </c>
      <c r="I272" t="s">
        <v>39</v>
      </c>
      <c r="J272" t="s">
        <v>40</v>
      </c>
      <c r="K272">
        <v>2013</v>
      </c>
      <c r="L272">
        <v>0.59729012072677201</v>
      </c>
      <c r="M272" s="7">
        <v>54.91122635</v>
      </c>
      <c r="N272" s="7">
        <f t="shared" si="36"/>
        <v>8.9059963635603216E-4</v>
      </c>
      <c r="O272" s="8">
        <v>4.227022474</v>
      </c>
      <c r="P272" s="8">
        <f t="shared" si="37"/>
        <v>6.8557650747371721E-5</v>
      </c>
      <c r="Q272" s="8">
        <v>0.28848260599999997</v>
      </c>
      <c r="R272" s="8">
        <f t="shared" si="38"/>
        <v>4.678870261629851E-6</v>
      </c>
      <c r="S272" s="8">
        <v>0.54029705500000003</v>
      </c>
      <c r="T272" s="8">
        <f t="shared" si="39"/>
        <v>8.7630233868786126E-6</v>
      </c>
      <c r="U272" s="8">
        <v>2.0102564E-2</v>
      </c>
      <c r="V272" s="8">
        <f t="shared" si="40"/>
        <v>3.2604145596948343E-7</v>
      </c>
      <c r="W272" s="8">
        <v>4.2011067999999999E-2</v>
      </c>
      <c r="X272" s="8">
        <f t="shared" si="41"/>
        <v>5.2880334573590018E-12</v>
      </c>
      <c r="Y272" s="8">
        <v>2.90332E-3</v>
      </c>
      <c r="Z272" s="8">
        <f t="shared" si="42"/>
        <v>4.7088653962018012E-8</v>
      </c>
      <c r="AA272" s="8">
        <v>3.2440984999999999E-2</v>
      </c>
      <c r="AB272" s="8">
        <f t="shared" si="43"/>
        <v>5.2615706048662109E-7</v>
      </c>
      <c r="AC272" s="8">
        <v>0.21398072500000001</v>
      </c>
      <c r="AD272" s="18">
        <f t="shared" si="44"/>
        <v>3.4705317753698309E-6</v>
      </c>
      <c r="AE272" s="9">
        <v>97.6</v>
      </c>
      <c r="AF272" s="10">
        <v>98.1</v>
      </c>
      <c r="AG272" s="10">
        <v>98.1</v>
      </c>
      <c r="AH272" s="10">
        <v>94.3</v>
      </c>
      <c r="AI272" s="10">
        <v>96.2</v>
      </c>
      <c r="AJ272" s="10">
        <v>98.1</v>
      </c>
      <c r="AK272" s="11">
        <v>61656.46617</v>
      </c>
      <c r="AL272" s="11">
        <v>38.585375900000003</v>
      </c>
      <c r="AM272" s="11">
        <v>7806.4407179999998</v>
      </c>
      <c r="AN272" s="11">
        <v>21.8</v>
      </c>
      <c r="AO272" s="11">
        <v>73.674000000000007</v>
      </c>
      <c r="AP272" s="19">
        <v>-3.5294864000000001</v>
      </c>
    </row>
    <row r="273" spans="2:42">
      <c r="B273" t="s">
        <v>161</v>
      </c>
      <c r="C273" t="s">
        <v>162</v>
      </c>
      <c r="D273" t="s">
        <v>163</v>
      </c>
      <c r="E273" t="s">
        <v>35</v>
      </c>
      <c r="F273" t="s">
        <v>36</v>
      </c>
      <c r="G273" t="s">
        <v>37</v>
      </c>
      <c r="H273" t="s">
        <v>38</v>
      </c>
      <c r="I273" t="s">
        <v>39</v>
      </c>
      <c r="J273" t="s">
        <v>40</v>
      </c>
      <c r="K273">
        <v>2013</v>
      </c>
      <c r="L273">
        <v>0.31499887479820199</v>
      </c>
      <c r="M273" s="7">
        <v>65.819804579999996</v>
      </c>
      <c r="N273" s="7">
        <f t="shared" si="36"/>
        <v>2.9418977886595996E-3</v>
      </c>
      <c r="O273" s="8">
        <v>37.19995857</v>
      </c>
      <c r="P273" s="8">
        <f t="shared" si="37"/>
        <v>1.6626982798512546E-3</v>
      </c>
      <c r="Q273" s="8">
        <v>2.042443837</v>
      </c>
      <c r="R273" s="8">
        <f t="shared" si="38"/>
        <v>9.1289560123633659E-5</v>
      </c>
      <c r="S273" s="8">
        <v>6.5425219710000002</v>
      </c>
      <c r="T273" s="8">
        <f t="shared" si="39"/>
        <v>2.9242613285713505E-4</v>
      </c>
      <c r="U273" s="8">
        <v>5.3926780000000001E-2</v>
      </c>
      <c r="V273" s="8">
        <f t="shared" si="40"/>
        <v>2.4103243065498136E-6</v>
      </c>
      <c r="W273" s="8">
        <v>9.2906416000000006E-2</v>
      </c>
      <c r="X273" s="8">
        <f t="shared" si="41"/>
        <v>1.0773243391770916E-10</v>
      </c>
      <c r="Y273" s="8">
        <v>1.7156779E-2</v>
      </c>
      <c r="Z273" s="8">
        <f t="shared" si="42"/>
        <v>7.6684351347889495E-7</v>
      </c>
      <c r="AA273" s="8">
        <v>0.26582735800000001</v>
      </c>
      <c r="AB273" s="8">
        <f t="shared" si="43"/>
        <v>1.1881483417576926E-5</v>
      </c>
      <c r="AC273" s="8">
        <v>43.37912343</v>
      </c>
      <c r="AD273" s="18">
        <f t="shared" si="44"/>
        <v>1.9388837160341024E-3</v>
      </c>
      <c r="AE273" s="9">
        <v>60.7</v>
      </c>
      <c r="AF273" s="10">
        <v>65.900000000000006</v>
      </c>
      <c r="AG273" s="10">
        <v>10.9</v>
      </c>
      <c r="AH273" s="10">
        <v>66.8</v>
      </c>
      <c r="AI273" s="10">
        <v>54.5</v>
      </c>
      <c r="AJ273" s="10">
        <v>40.799999999999997</v>
      </c>
      <c r="AK273" s="11">
        <v>22373.24656</v>
      </c>
      <c r="AL273" s="11">
        <v>49.923989499999998</v>
      </c>
      <c r="AM273" s="11">
        <v>2747.5840870000002</v>
      </c>
      <c r="AN273" s="11">
        <v>13.8</v>
      </c>
      <c r="AO273" s="11">
        <v>72.531000000000006</v>
      </c>
      <c r="AP273" s="19">
        <v>1.4160589299999999</v>
      </c>
    </row>
    <row r="274" spans="2:42">
      <c r="B274" t="s">
        <v>164</v>
      </c>
      <c r="C274" t="s">
        <v>165</v>
      </c>
      <c r="D274" t="s">
        <v>166</v>
      </c>
      <c r="E274" t="s">
        <v>35</v>
      </c>
      <c r="F274" t="s">
        <v>36</v>
      </c>
      <c r="G274" t="s">
        <v>37</v>
      </c>
      <c r="H274" t="s">
        <v>38</v>
      </c>
      <c r="I274" t="s">
        <v>39</v>
      </c>
      <c r="J274" t="s">
        <v>40</v>
      </c>
      <c r="K274">
        <v>2013</v>
      </c>
      <c r="L274">
        <v>7.4751232374427601E-2</v>
      </c>
      <c r="M274" s="7">
        <v>39.242796609999999</v>
      </c>
      <c r="N274" s="7">
        <f t="shared" si="36"/>
        <v>1.9190740574947407E-2</v>
      </c>
      <c r="O274" s="8">
        <v>16.838708449999999</v>
      </c>
      <c r="P274" s="8">
        <f t="shared" si="37"/>
        <v>8.234563114668008E-3</v>
      </c>
      <c r="Q274" s="8">
        <v>2.9880922609999998</v>
      </c>
      <c r="R274" s="8">
        <f t="shared" si="38"/>
        <v>1.4612542516974055E-3</v>
      </c>
      <c r="S274" s="8">
        <v>4.0817699999999997</v>
      </c>
      <c r="T274" s="8">
        <f t="shared" si="39"/>
        <v>1.9960908987980272E-3</v>
      </c>
      <c r="U274" s="8">
        <v>8.7637496999999995E-2</v>
      </c>
      <c r="V274" s="8">
        <f t="shared" si="40"/>
        <v>4.2856998350014676E-5</v>
      </c>
      <c r="W274" s="8">
        <v>1.750854E-3</v>
      </c>
      <c r="X274" s="8">
        <f t="shared" si="41"/>
        <v>2.0958178524577905E-8</v>
      </c>
      <c r="Y274" s="8"/>
      <c r="Z274" s="8">
        <f t="shared" si="42"/>
        <v>0</v>
      </c>
      <c r="AA274" s="8">
        <v>1.4199959999999999E-2</v>
      </c>
      <c r="AB274" s="8">
        <f t="shared" si="43"/>
        <v>6.9441470046808205E-6</v>
      </c>
      <c r="AC274" s="8">
        <v>2.7197155159999999</v>
      </c>
      <c r="AD274" s="18">
        <f t="shared" si="44"/>
        <v>1.3300110953844485E-3</v>
      </c>
      <c r="AE274" s="9">
        <v>13.3</v>
      </c>
      <c r="AF274" s="10">
        <v>33.200000000000003</v>
      </c>
      <c r="AG274" s="10">
        <v>19.899999999999999</v>
      </c>
      <c r="AH274" s="10">
        <v>44.1</v>
      </c>
      <c r="AI274" s="10">
        <v>44.1</v>
      </c>
      <c r="AJ274" s="10">
        <v>29.6</v>
      </c>
      <c r="AK274" s="11">
        <v>2044.8818249999999</v>
      </c>
      <c r="AL274" s="11">
        <v>71.888091000000003</v>
      </c>
      <c r="AM274" s="11">
        <v>61.719936830000002</v>
      </c>
      <c r="AN274" s="11">
        <v>93.1</v>
      </c>
      <c r="AO274" s="11">
        <v>20.957999999999998</v>
      </c>
      <c r="AP274" s="19">
        <v>3.7903171000000002</v>
      </c>
    </row>
    <row r="275" spans="2:42">
      <c r="B275" t="s">
        <v>167</v>
      </c>
      <c r="C275" t="s">
        <v>168</v>
      </c>
      <c r="D275" t="s">
        <v>169</v>
      </c>
      <c r="E275" t="s">
        <v>35</v>
      </c>
      <c r="F275" t="s">
        <v>36</v>
      </c>
      <c r="G275" t="s">
        <v>37</v>
      </c>
      <c r="H275" t="s">
        <v>38</v>
      </c>
      <c r="I275" t="s">
        <v>39</v>
      </c>
      <c r="J275" t="s">
        <v>40</v>
      </c>
      <c r="K275">
        <v>2013</v>
      </c>
      <c r="L275">
        <v>0.38180406095285402</v>
      </c>
      <c r="M275" s="7">
        <v>48587.899109999998</v>
      </c>
      <c r="N275" s="7">
        <f t="shared" si="36"/>
        <v>4.4560416384884824</v>
      </c>
      <c r="O275" s="8">
        <v>16.22943635</v>
      </c>
      <c r="P275" s="8">
        <f t="shared" si="37"/>
        <v>1.4884167759769298E-3</v>
      </c>
      <c r="Q275" s="8">
        <v>0.69388074899999996</v>
      </c>
      <c r="R275" s="8">
        <f t="shared" si="38"/>
        <v>6.3636452004017818E-5</v>
      </c>
      <c r="S275" s="8">
        <v>53.660863939999999</v>
      </c>
      <c r="T275" s="8">
        <f t="shared" si="39"/>
        <v>4.9212879843304903E-3</v>
      </c>
      <c r="U275" s="8">
        <v>6.6722635000000002E-2</v>
      </c>
      <c r="V275" s="8">
        <f t="shared" si="40"/>
        <v>6.1191952160054814E-6</v>
      </c>
      <c r="W275" s="8">
        <v>6.1115586E-2</v>
      </c>
      <c r="X275" s="8">
        <f t="shared" si="41"/>
        <v>5.6119711236800472E-10</v>
      </c>
      <c r="Y275" s="8">
        <v>0.13441903999999999</v>
      </c>
      <c r="Z275" s="8">
        <f t="shared" si="42"/>
        <v>1.2327695788813635E-5</v>
      </c>
      <c r="AA275" s="8">
        <v>0.14771731199999999</v>
      </c>
      <c r="AB275" s="8">
        <f t="shared" si="43"/>
        <v>1.354729274273399E-5</v>
      </c>
      <c r="AC275" s="8">
        <v>9.8136481599999996</v>
      </c>
      <c r="AD275" s="18">
        <f t="shared" si="44"/>
        <v>9.0001884476284522E-4</v>
      </c>
      <c r="AE275" s="9">
        <v>10.9</v>
      </c>
      <c r="AF275" s="10">
        <v>29.9</v>
      </c>
      <c r="AG275" s="10">
        <v>20.9</v>
      </c>
      <c r="AH275" s="10">
        <v>30.3</v>
      </c>
      <c r="AI275" s="10">
        <v>22.5</v>
      </c>
      <c r="AJ275" s="10">
        <v>37.6</v>
      </c>
      <c r="AK275" s="11">
        <v>10903.825199999999</v>
      </c>
      <c r="AL275" s="11">
        <v>71.680591000000007</v>
      </c>
      <c r="AM275" s="11">
        <v>3550.4978999999998</v>
      </c>
      <c r="AN275" s="11">
        <v>3.5</v>
      </c>
      <c r="AO275" s="11">
        <v>68.875</v>
      </c>
      <c r="AP275" s="19">
        <v>2.3669438999999999</v>
      </c>
    </row>
    <row r="276" spans="2:42">
      <c r="B276" t="s">
        <v>170</v>
      </c>
      <c r="C276" t="s">
        <v>171</v>
      </c>
      <c r="D276" t="s">
        <v>172</v>
      </c>
      <c r="E276" t="s">
        <v>35</v>
      </c>
      <c r="F276" t="s">
        <v>36</v>
      </c>
      <c r="G276" t="s">
        <v>37</v>
      </c>
      <c r="H276" t="s">
        <v>38</v>
      </c>
      <c r="I276" t="s">
        <v>39</v>
      </c>
      <c r="J276" t="s">
        <v>40</v>
      </c>
      <c r="K276">
        <v>2013</v>
      </c>
      <c r="L276">
        <v>0.76981632931899402</v>
      </c>
      <c r="M276" s="7">
        <v>418.004885</v>
      </c>
      <c r="N276" s="7">
        <f t="shared" si="36"/>
        <v>1.0463846254615244E-2</v>
      </c>
      <c r="O276" s="8">
        <v>31.94302029</v>
      </c>
      <c r="P276" s="8">
        <f t="shared" si="37"/>
        <v>7.9962427525844643E-4</v>
      </c>
      <c r="Q276" s="8">
        <v>0.77689376899999996</v>
      </c>
      <c r="R276" s="8">
        <f t="shared" si="38"/>
        <v>1.9447851560358129E-5</v>
      </c>
      <c r="S276" s="8">
        <v>5.6536186910000001</v>
      </c>
      <c r="T276" s="8">
        <f t="shared" si="39"/>
        <v>1.4152608949735861E-4</v>
      </c>
      <c r="U276" s="8">
        <v>6.8165080000000003E-2</v>
      </c>
      <c r="V276" s="8">
        <f t="shared" si="40"/>
        <v>1.7063650274171999E-6</v>
      </c>
      <c r="W276" s="8">
        <v>0.20635852399999999</v>
      </c>
      <c r="X276" s="8">
        <f t="shared" si="41"/>
        <v>4.2715149850810726E-11</v>
      </c>
      <c r="Y276" s="8">
        <v>6.8735424000000003E-2</v>
      </c>
      <c r="Z276" s="8">
        <f t="shared" si="42"/>
        <v>1.7206423532150605E-6</v>
      </c>
      <c r="AA276" s="8">
        <v>0.157747833</v>
      </c>
      <c r="AB276" s="8">
        <f t="shared" si="43"/>
        <v>3.9488750747750737E-6</v>
      </c>
      <c r="AC276" s="8">
        <v>10.50582949</v>
      </c>
      <c r="AD276" s="18">
        <f t="shared" si="44"/>
        <v>2.6299066950034058E-4</v>
      </c>
      <c r="AE276" s="9">
        <v>93.4</v>
      </c>
      <c r="AF276" s="10">
        <v>91</v>
      </c>
      <c r="AG276" s="10">
        <v>63</v>
      </c>
      <c r="AH276" s="10">
        <v>96.2</v>
      </c>
      <c r="AI276" s="10">
        <v>93.9</v>
      </c>
      <c r="AJ276" s="10">
        <v>92.5</v>
      </c>
      <c r="AK276" s="11">
        <v>39947.536959999998</v>
      </c>
      <c r="AL276" s="11">
        <v>71.302442900000003</v>
      </c>
      <c r="AM276" s="11">
        <v>5395.7498560000004</v>
      </c>
      <c r="AN276" s="11">
        <v>5.2</v>
      </c>
      <c r="AO276" s="11">
        <v>82.102000000000004</v>
      </c>
      <c r="AP276" s="19">
        <v>1.9560517399999999</v>
      </c>
    </row>
    <row r="277" spans="2:42">
      <c r="B277" t="s">
        <v>173</v>
      </c>
      <c r="C277" t="s">
        <v>174</v>
      </c>
      <c r="D277" t="s">
        <v>175</v>
      </c>
      <c r="E277" t="s">
        <v>35</v>
      </c>
      <c r="F277" t="s">
        <v>36</v>
      </c>
      <c r="G277" t="s">
        <v>37</v>
      </c>
      <c r="H277" t="s">
        <v>38</v>
      </c>
      <c r="I277" t="s">
        <v>39</v>
      </c>
      <c r="J277" t="s">
        <v>40</v>
      </c>
      <c r="K277">
        <v>2013</v>
      </c>
      <c r="L277">
        <v>4.3739342211958198E-3</v>
      </c>
      <c r="M277" s="7">
        <v>22.847740210000001</v>
      </c>
      <c r="N277" s="7">
        <f t="shared" si="36"/>
        <v>6.5705748348744413E-3</v>
      </c>
      <c r="O277" s="8">
        <v>5.1599940679999996</v>
      </c>
      <c r="P277" s="8">
        <f t="shared" si="37"/>
        <v>1.4839159960538693E-3</v>
      </c>
      <c r="Q277" s="8">
        <v>1.554068988</v>
      </c>
      <c r="R277" s="8">
        <f t="shared" si="38"/>
        <v>4.4692063592977933E-4</v>
      </c>
      <c r="S277" s="8">
        <v>3.4195624320000002</v>
      </c>
      <c r="T277" s="8">
        <f t="shared" si="39"/>
        <v>9.8340101276831013E-4</v>
      </c>
      <c r="U277" s="8">
        <v>5.7099762999999998E-2</v>
      </c>
      <c r="V277" s="8">
        <f t="shared" si="40"/>
        <v>1.6420804088138513E-5</v>
      </c>
      <c r="W277" s="14">
        <v>3.59285E-5</v>
      </c>
      <c r="X277" s="8">
        <f t="shared" si="41"/>
        <v>4.7223104393800462E-9</v>
      </c>
      <c r="Y277" s="8"/>
      <c r="Z277" s="8">
        <f t="shared" si="42"/>
        <v>0</v>
      </c>
      <c r="AA277" s="8">
        <v>1.074074E-2</v>
      </c>
      <c r="AB277" s="8">
        <f t="shared" si="43"/>
        <v>3.0888322128698308E-6</v>
      </c>
      <c r="AC277" s="8">
        <v>0.69059415499999999</v>
      </c>
      <c r="AD277" s="18">
        <f t="shared" si="44"/>
        <v>1.9860172315721455E-4</v>
      </c>
      <c r="AE277" s="9">
        <v>46.9</v>
      </c>
      <c r="AF277" s="10">
        <v>35.5</v>
      </c>
      <c r="AG277" s="10">
        <v>61.6</v>
      </c>
      <c r="AH277" s="10">
        <v>34.1</v>
      </c>
      <c r="AI277" s="10">
        <v>46.9</v>
      </c>
      <c r="AJ277" s="10">
        <v>44.1</v>
      </c>
      <c r="AK277" s="11">
        <v>3477.2817879999998</v>
      </c>
      <c r="AL277" s="11">
        <v>31.9307497</v>
      </c>
      <c r="AM277" s="11">
        <v>724.33289000000002</v>
      </c>
      <c r="AN277" s="11">
        <v>85.3</v>
      </c>
      <c r="AO277" s="11">
        <v>40.865000000000002</v>
      </c>
      <c r="AP277" s="19">
        <v>7.4893250599999996</v>
      </c>
    </row>
    <row r="278" spans="2:42">
      <c r="B278" t="s">
        <v>32</v>
      </c>
      <c r="C278" t="s">
        <v>33</v>
      </c>
      <c r="D278" t="s">
        <v>34</v>
      </c>
      <c r="E278" t="s">
        <v>35</v>
      </c>
      <c r="F278" t="s">
        <v>36</v>
      </c>
      <c r="G278" t="s">
        <v>37</v>
      </c>
      <c r="H278" t="s">
        <v>38</v>
      </c>
      <c r="I278" t="s">
        <v>39</v>
      </c>
      <c r="J278" t="s">
        <v>40</v>
      </c>
      <c r="K278">
        <v>2014</v>
      </c>
      <c r="L278">
        <v>0.94854055903400603</v>
      </c>
      <c r="M278" s="7">
        <v>600.0331324</v>
      </c>
      <c r="N278" s="7">
        <f t="shared" si="36"/>
        <v>1.2792854999974278E-2</v>
      </c>
      <c r="O278" s="8">
        <v>83.562452390000004</v>
      </c>
      <c r="P278" s="8">
        <f t="shared" si="37"/>
        <v>1.7815721818422775E-3</v>
      </c>
      <c r="Q278" s="8">
        <v>0.48609046900000003</v>
      </c>
      <c r="R278" s="8">
        <f t="shared" si="38"/>
        <v>1.0363569194777505E-5</v>
      </c>
      <c r="S278" s="8">
        <v>52.379834109999997</v>
      </c>
      <c r="T278" s="8">
        <f t="shared" si="39"/>
        <v>1.1167510367498111E-3</v>
      </c>
      <c r="U278" s="8">
        <v>0.15973268700000001</v>
      </c>
      <c r="V278" s="8">
        <f t="shared" si="40"/>
        <v>3.4055404496981351E-6</v>
      </c>
      <c r="W278" s="8">
        <v>0.10207311600000001</v>
      </c>
      <c r="X278" s="8">
        <f t="shared" si="41"/>
        <v>7.2606965877498663E-11</v>
      </c>
      <c r="Y278" s="8">
        <v>2.525585E-2</v>
      </c>
      <c r="Z278" s="8">
        <f t="shared" si="42"/>
        <v>5.3846097741102064E-7</v>
      </c>
      <c r="AA278" s="8">
        <v>0.239002883</v>
      </c>
      <c r="AB278" s="8">
        <f t="shared" si="43"/>
        <v>5.095600662192396E-6</v>
      </c>
      <c r="AC278" s="8">
        <v>12.44027101</v>
      </c>
      <c r="AD278" s="18">
        <f t="shared" si="44"/>
        <v>2.6522965916025732E-4</v>
      </c>
      <c r="AE278" s="9">
        <v>95.2</v>
      </c>
      <c r="AF278" s="10">
        <v>92.3</v>
      </c>
      <c r="AG278" s="10">
        <v>85.2</v>
      </c>
      <c r="AH278" s="10">
        <v>98.1</v>
      </c>
      <c r="AI278" s="10">
        <v>96.2</v>
      </c>
      <c r="AJ278" s="10">
        <v>93.6</v>
      </c>
      <c r="AK278" s="11">
        <v>46903.770299999996</v>
      </c>
      <c r="AL278" s="11">
        <v>48.738398699999998</v>
      </c>
      <c r="AM278" s="11">
        <v>10146.66834</v>
      </c>
      <c r="AN278" s="11">
        <v>9.3000000000000007</v>
      </c>
      <c r="AO278" s="11">
        <v>85.602000000000004</v>
      </c>
      <c r="AP278" s="19">
        <v>4.30470664</v>
      </c>
    </row>
    <row r="279" spans="2:42">
      <c r="B279" t="s">
        <v>41</v>
      </c>
      <c r="C279" t="s">
        <v>42</v>
      </c>
      <c r="D279" t="s">
        <v>43</v>
      </c>
      <c r="E279" t="s">
        <v>35</v>
      </c>
      <c r="F279" t="s">
        <v>36</v>
      </c>
      <c r="G279" t="s">
        <v>37</v>
      </c>
      <c r="H279" t="s">
        <v>38</v>
      </c>
      <c r="I279" t="s">
        <v>39</v>
      </c>
      <c r="J279" t="s">
        <v>40</v>
      </c>
      <c r="K279">
        <v>2014</v>
      </c>
      <c r="L279">
        <v>0.454566329907509</v>
      </c>
      <c r="M279" s="7">
        <v>81.020140729999994</v>
      </c>
      <c r="N279" s="7">
        <f t="shared" si="36"/>
        <v>1.6755104276275367E-3</v>
      </c>
      <c r="O279" s="8">
        <v>5.4632159260000002</v>
      </c>
      <c r="P279" s="8">
        <f t="shared" si="37"/>
        <v>1.1298024380010023E-4</v>
      </c>
      <c r="Q279" s="8">
        <v>0.66703727099999999</v>
      </c>
      <c r="R279" s="8">
        <f t="shared" si="38"/>
        <v>1.3794445345401404E-5</v>
      </c>
      <c r="S279" s="8">
        <v>0.770163229</v>
      </c>
      <c r="T279" s="8">
        <f t="shared" si="39"/>
        <v>1.592710787142562E-5</v>
      </c>
      <c r="U279" s="8">
        <v>5.9284473999999997E-2</v>
      </c>
      <c r="V279" s="8">
        <f t="shared" si="40"/>
        <v>1.2260131059811058E-6</v>
      </c>
      <c r="W279" s="8">
        <v>8.3213104999999996E-2</v>
      </c>
      <c r="X279" s="8">
        <f t="shared" si="41"/>
        <v>2.5354161631550245E-11</v>
      </c>
      <c r="Y279" s="8">
        <v>1.9020334E-2</v>
      </c>
      <c r="Z279" s="8">
        <f t="shared" si="42"/>
        <v>3.9334377436051854E-7</v>
      </c>
      <c r="AA279" s="8">
        <v>3.0011311999999998E-2</v>
      </c>
      <c r="AB279" s="8">
        <f t="shared" si="43"/>
        <v>6.2063908738885043E-7</v>
      </c>
      <c r="AC279" s="8">
        <v>2.2831375999999999</v>
      </c>
      <c r="AD279" s="18">
        <f t="shared" si="44"/>
        <v>4.7215677756679556E-5</v>
      </c>
      <c r="AE279" s="9">
        <v>90.9</v>
      </c>
      <c r="AF279" s="10">
        <v>91.3</v>
      </c>
      <c r="AG279" s="10">
        <v>95.2</v>
      </c>
      <c r="AH279" s="10">
        <v>91.3</v>
      </c>
      <c r="AI279" s="10">
        <v>96.6</v>
      </c>
      <c r="AJ279" s="10">
        <v>94.6</v>
      </c>
      <c r="AK279" s="11">
        <v>48355.497759999998</v>
      </c>
      <c r="AL279" s="11">
        <v>32.8914203</v>
      </c>
      <c r="AM279" s="11">
        <v>8342.7369510000008</v>
      </c>
      <c r="AN279" s="11">
        <v>35.700000000000003</v>
      </c>
      <c r="AO279" s="11">
        <v>57.526000000000003</v>
      </c>
      <c r="AP279" s="19">
        <v>0.38955704000000002</v>
      </c>
    </row>
    <row r="280" spans="2:42">
      <c r="B280" t="s">
        <v>44</v>
      </c>
      <c r="C280" t="s">
        <v>45</v>
      </c>
      <c r="D280" t="s">
        <v>46</v>
      </c>
      <c r="E280" t="s">
        <v>35</v>
      </c>
      <c r="F280" t="s">
        <v>36</v>
      </c>
      <c r="G280" t="s">
        <v>37</v>
      </c>
      <c r="H280" t="s">
        <v>38</v>
      </c>
      <c r="I280" t="s">
        <v>39</v>
      </c>
      <c r="J280" t="s">
        <v>40</v>
      </c>
      <c r="K280">
        <v>2014</v>
      </c>
      <c r="L280">
        <v>2.5417654424959499E-2</v>
      </c>
      <c r="M280" s="7">
        <v>53.501505430000002</v>
      </c>
      <c r="N280" s="7">
        <f t="shared" si="36"/>
        <v>3.0461561476341522E-3</v>
      </c>
      <c r="O280" s="8">
        <v>7.775841926</v>
      </c>
      <c r="P280" s="8">
        <f t="shared" si="37"/>
        <v>4.4272452701180537E-4</v>
      </c>
      <c r="Q280" s="8">
        <v>4.5144496999999999E-2</v>
      </c>
      <c r="R280" s="8">
        <f t="shared" si="38"/>
        <v>2.57034238500682E-6</v>
      </c>
      <c r="S280" s="8">
        <v>4.9670341310000001</v>
      </c>
      <c r="T280" s="8">
        <f t="shared" si="39"/>
        <v>2.8280253858371308E-4</v>
      </c>
      <c r="U280" s="8">
        <v>1.355378E-3</v>
      </c>
      <c r="V280" s="8">
        <f t="shared" si="40"/>
        <v>7.7169660813936504E-8</v>
      </c>
      <c r="W280" s="8">
        <v>1.5785436E-2</v>
      </c>
      <c r="X280" s="8">
        <f t="shared" si="41"/>
        <v>4.3937237804789565E-12</v>
      </c>
      <c r="Y280" s="8">
        <v>4.0942700000000002E-4</v>
      </c>
      <c r="Z280" s="8">
        <f t="shared" si="42"/>
        <v>2.3311093081094411E-8</v>
      </c>
      <c r="AA280" s="8">
        <v>3.9047330999999998E-2</v>
      </c>
      <c r="AB280" s="8">
        <f t="shared" si="43"/>
        <v>2.2231947758924135E-6</v>
      </c>
      <c r="AC280" s="8">
        <v>2.6890001109999999</v>
      </c>
      <c r="AD280" s="18">
        <f t="shared" si="44"/>
        <v>1.5310063059493928E-4</v>
      </c>
      <c r="AE280" s="9">
        <v>14.9</v>
      </c>
      <c r="AF280" s="10">
        <v>42.3</v>
      </c>
      <c r="AG280" s="10">
        <v>26.2</v>
      </c>
      <c r="AH280" s="10">
        <v>43.8</v>
      </c>
      <c r="AI280" s="10">
        <v>28.4</v>
      </c>
      <c r="AJ280" s="10">
        <v>7.4</v>
      </c>
      <c r="AK280" s="11">
        <v>17563.612249999998</v>
      </c>
      <c r="AL280" s="11">
        <v>57.700543199999998</v>
      </c>
      <c r="AM280" s="11">
        <v>2202.3939180000002</v>
      </c>
      <c r="AN280" s="11">
        <v>2.1</v>
      </c>
      <c r="AO280" s="11">
        <v>54.421999999999997</v>
      </c>
      <c r="AP280" s="19">
        <v>5.8884617700000002</v>
      </c>
    </row>
    <row r="281" spans="2:42">
      <c r="B281" t="s">
        <v>47</v>
      </c>
      <c r="C281" t="s">
        <v>48</v>
      </c>
      <c r="D281" t="s">
        <v>49</v>
      </c>
      <c r="E281" t="s">
        <v>35</v>
      </c>
      <c r="F281" t="s">
        <v>36</v>
      </c>
      <c r="G281" t="s">
        <v>37</v>
      </c>
      <c r="H281" t="s">
        <v>38</v>
      </c>
      <c r="I281" t="s">
        <v>39</v>
      </c>
      <c r="J281" t="s">
        <v>40</v>
      </c>
      <c r="K281">
        <v>2014</v>
      </c>
      <c r="L281">
        <v>1.3629145120147701</v>
      </c>
      <c r="M281" s="7">
        <v>3.1209941000000001E-2</v>
      </c>
      <c r="N281" s="7">
        <f t="shared" si="36"/>
        <v>6.9128616602563964E-7</v>
      </c>
      <c r="O281" s="8">
        <v>7.0237914879999996</v>
      </c>
      <c r="P281" s="8">
        <f t="shared" si="37"/>
        <v>1.5557382465743982E-4</v>
      </c>
      <c r="Q281" s="8">
        <v>0.25488175099999999</v>
      </c>
      <c r="R281" s="8">
        <f t="shared" si="38"/>
        <v>5.6455162295465962E-6</v>
      </c>
      <c r="S281" s="8">
        <v>2.5443297450000002</v>
      </c>
      <c r="T281" s="8">
        <f t="shared" si="39"/>
        <v>5.6355760317715551E-5</v>
      </c>
      <c r="U281" s="8">
        <v>4.8107398000000003E-2</v>
      </c>
      <c r="V281" s="8">
        <f t="shared" si="40"/>
        <v>1.0655572441130064E-6</v>
      </c>
      <c r="W281" s="8">
        <v>6.5369935000000004E-2</v>
      </c>
      <c r="X281" s="8">
        <f t="shared" si="41"/>
        <v>2.3601614048668877E-11</v>
      </c>
      <c r="Y281" s="8">
        <v>5.4846338000000001E-2</v>
      </c>
      <c r="Z281" s="8">
        <f t="shared" si="42"/>
        <v>1.2148217363360716E-6</v>
      </c>
      <c r="AA281" s="8">
        <v>2.9308118000000001E-2</v>
      </c>
      <c r="AB281" s="8">
        <f t="shared" si="43"/>
        <v>6.4916164133879777E-7</v>
      </c>
      <c r="AC281" s="8">
        <v>2.4541158749999998</v>
      </c>
      <c r="AD281" s="18">
        <f t="shared" si="44"/>
        <v>5.4357563643308643E-5</v>
      </c>
      <c r="AE281" s="9">
        <v>91.3</v>
      </c>
      <c r="AF281" s="10">
        <v>90.9</v>
      </c>
      <c r="AG281" s="10">
        <v>69.5</v>
      </c>
      <c r="AH281" s="10">
        <v>84.1</v>
      </c>
      <c r="AI281" s="10">
        <v>88.9</v>
      </c>
      <c r="AJ281" s="10">
        <v>94.1</v>
      </c>
      <c r="AK281" s="11">
        <v>45147.642950000001</v>
      </c>
      <c r="AL281" s="11">
        <v>43.889493299999998</v>
      </c>
      <c r="AM281" s="11">
        <v>7700.558575</v>
      </c>
      <c r="AN281" s="11">
        <v>9.1</v>
      </c>
      <c r="AO281" s="11">
        <v>97.832999999999998</v>
      </c>
      <c r="AP281" s="19">
        <v>-2.8264361999999998</v>
      </c>
    </row>
    <row r="282" spans="2:42">
      <c r="B282" t="s">
        <v>50</v>
      </c>
      <c r="C282" t="s">
        <v>51</v>
      </c>
      <c r="D282" t="s">
        <v>52</v>
      </c>
      <c r="E282" t="s">
        <v>35</v>
      </c>
      <c r="F282" t="s">
        <v>36</v>
      </c>
      <c r="G282" t="s">
        <v>37</v>
      </c>
      <c r="H282" t="s">
        <v>38</v>
      </c>
      <c r="I282" t="s">
        <v>39</v>
      </c>
      <c r="J282" t="s">
        <v>40</v>
      </c>
      <c r="K282">
        <v>2014</v>
      </c>
      <c r="L282">
        <v>0.686211449202065</v>
      </c>
      <c r="M282" s="7">
        <v>225.88631100000001</v>
      </c>
      <c r="N282" s="7">
        <f t="shared" si="36"/>
        <v>1.2555638020543778E-2</v>
      </c>
      <c r="O282" s="8">
        <v>2.1287392569999999</v>
      </c>
      <c r="P282" s="8">
        <f t="shared" si="37"/>
        <v>1.1832359133534794E-4</v>
      </c>
      <c r="Q282" s="8">
        <v>0.31221197000000001</v>
      </c>
      <c r="R282" s="8">
        <f t="shared" si="38"/>
        <v>1.7353953250406898E-5</v>
      </c>
      <c r="S282" s="8">
        <v>1.0637973510000001</v>
      </c>
      <c r="T282" s="8">
        <f t="shared" si="39"/>
        <v>5.9129986262732645E-5</v>
      </c>
      <c r="U282" s="8">
        <v>1.2251303999999999E-2</v>
      </c>
      <c r="V282" s="8">
        <f t="shared" si="40"/>
        <v>6.8097503395697156E-7</v>
      </c>
      <c r="W282" s="8">
        <v>9.6057650000000005E-3</v>
      </c>
      <c r="X282" s="8">
        <f t="shared" si="41"/>
        <v>3.7851235825402639E-11</v>
      </c>
      <c r="Y282" s="8">
        <v>7.349726E-3</v>
      </c>
      <c r="Z282" s="8">
        <f t="shared" si="42"/>
        <v>4.0852630156140417E-7</v>
      </c>
      <c r="AA282" s="8">
        <v>4.7520144E-2</v>
      </c>
      <c r="AB282" s="8">
        <f t="shared" si="43"/>
        <v>2.6413540692517454E-6</v>
      </c>
      <c r="AC282" s="8">
        <v>4.5074137280000004</v>
      </c>
      <c r="AD282" s="18">
        <f t="shared" si="44"/>
        <v>2.5053955207404212E-4</v>
      </c>
      <c r="AE282" s="9">
        <v>47.6</v>
      </c>
      <c r="AF282" s="10">
        <v>49</v>
      </c>
      <c r="AG282" s="10">
        <v>49.5</v>
      </c>
      <c r="AH282" s="10">
        <v>70.2</v>
      </c>
      <c r="AI282" s="10">
        <v>54.3</v>
      </c>
      <c r="AJ282" s="10">
        <v>59.6</v>
      </c>
      <c r="AK282" s="11">
        <v>17990.826959999999</v>
      </c>
      <c r="AL282" s="11">
        <v>45.845615299999999</v>
      </c>
      <c r="AM282" s="11">
        <v>4809.7340350000004</v>
      </c>
      <c r="AN282" s="11">
        <v>17.100000000000001</v>
      </c>
      <c r="AO282" s="11">
        <v>73.650999999999996</v>
      </c>
      <c r="AP282" s="19">
        <v>1.9158773899999999</v>
      </c>
    </row>
    <row r="283" spans="2:42">
      <c r="B283" t="s">
        <v>53</v>
      </c>
      <c r="C283" t="s">
        <v>54</v>
      </c>
      <c r="D283" t="s">
        <v>55</v>
      </c>
      <c r="E283" t="s">
        <v>35</v>
      </c>
      <c r="F283" t="s">
        <v>36</v>
      </c>
      <c r="G283" t="s">
        <v>37</v>
      </c>
      <c r="H283" t="s">
        <v>38</v>
      </c>
      <c r="I283" t="s">
        <v>39</v>
      </c>
      <c r="J283" t="s">
        <v>40</v>
      </c>
      <c r="K283">
        <v>2014</v>
      </c>
      <c r="L283">
        <v>0.58674679106400396</v>
      </c>
      <c r="M283" s="7">
        <v>12.585671209999999</v>
      </c>
      <c r="N283" s="7">
        <f t="shared" si="36"/>
        <v>2.7504793706939332E-4</v>
      </c>
      <c r="O283" s="8">
        <v>31.10331381</v>
      </c>
      <c r="P283" s="8">
        <f t="shared" si="37"/>
        <v>6.7973349666604484E-4</v>
      </c>
      <c r="Q283" s="8">
        <v>1.1306176590000001</v>
      </c>
      <c r="R283" s="8">
        <f t="shared" si="38"/>
        <v>2.470857926711855E-5</v>
      </c>
      <c r="S283" s="8">
        <v>79.128912720000002</v>
      </c>
      <c r="T283" s="8">
        <f t="shared" si="39"/>
        <v>1.7292875241240373E-3</v>
      </c>
      <c r="U283" s="8">
        <v>0.29374837799999998</v>
      </c>
      <c r="V283" s="8">
        <f t="shared" si="40"/>
        <v>6.4195928876788415E-6</v>
      </c>
      <c r="W283" s="8">
        <v>0.13684558699999999</v>
      </c>
      <c r="X283" s="8">
        <f t="shared" si="41"/>
        <v>1.4029412902336696E-10</v>
      </c>
      <c r="Y283" s="8">
        <v>0.149153393</v>
      </c>
      <c r="Z283" s="8">
        <f t="shared" si="42"/>
        <v>3.2596062909187096E-6</v>
      </c>
      <c r="AA283" s="8">
        <v>0.65562904799999999</v>
      </c>
      <c r="AB283" s="8">
        <f t="shared" si="43"/>
        <v>1.4328152557480504E-5</v>
      </c>
      <c r="AC283" s="8">
        <v>19.155115290000001</v>
      </c>
      <c r="AD283" s="18">
        <f t="shared" si="44"/>
        <v>4.1861692212765935E-4</v>
      </c>
      <c r="AE283" s="9">
        <v>94.7</v>
      </c>
      <c r="AF283" s="10">
        <v>95.7</v>
      </c>
      <c r="AG283" s="10">
        <v>92.9</v>
      </c>
      <c r="AH283" s="10">
        <v>97.6</v>
      </c>
      <c r="AI283" s="10">
        <v>95.2</v>
      </c>
      <c r="AJ283" s="10">
        <v>95.6</v>
      </c>
      <c r="AK283" s="11">
        <v>45758.100729999998</v>
      </c>
      <c r="AL283" s="11">
        <v>6.4594744999999998</v>
      </c>
      <c r="AM283" s="11">
        <v>16474.42887</v>
      </c>
      <c r="AN283" s="11">
        <v>22.2</v>
      </c>
      <c r="AO283" s="11">
        <v>81.218000000000004</v>
      </c>
      <c r="AP283" s="19">
        <v>3.55390337</v>
      </c>
    </row>
    <row r="284" spans="2:42">
      <c r="B284" t="s">
        <v>56</v>
      </c>
      <c r="C284" t="s">
        <v>57</v>
      </c>
      <c r="D284" t="s">
        <v>58</v>
      </c>
      <c r="E284" t="s">
        <v>35</v>
      </c>
      <c r="F284" t="s">
        <v>36</v>
      </c>
      <c r="G284" t="s">
        <v>37</v>
      </c>
      <c r="H284" t="s">
        <v>38</v>
      </c>
      <c r="I284" t="s">
        <v>39</v>
      </c>
      <c r="J284" t="s">
        <v>40</v>
      </c>
      <c r="K284">
        <v>2014</v>
      </c>
      <c r="L284">
        <v>8.9103319712202506E-2</v>
      </c>
      <c r="M284" s="7">
        <v>760.4195555</v>
      </c>
      <c r="N284" s="7">
        <f t="shared" si="36"/>
        <v>3.3716081245291456E-2</v>
      </c>
      <c r="O284" s="8">
        <v>6.7688547359999998</v>
      </c>
      <c r="P284" s="8">
        <f t="shared" si="37"/>
        <v>3.0012281320999229E-4</v>
      </c>
      <c r="Q284" s="8">
        <v>0.65420197000000002</v>
      </c>
      <c r="R284" s="8">
        <f t="shared" si="38"/>
        <v>2.9006522270257061E-5</v>
      </c>
      <c r="S284" s="8">
        <v>2.269326838</v>
      </c>
      <c r="T284" s="8">
        <f t="shared" si="39"/>
        <v>1.0061920092496669E-4</v>
      </c>
      <c r="U284" s="8">
        <v>0.100102648</v>
      </c>
      <c r="V284" s="8">
        <f t="shared" si="40"/>
        <v>4.4384300593342812E-6</v>
      </c>
      <c r="W284" s="8">
        <v>0.13328158000000001</v>
      </c>
      <c r="X284" s="8">
        <f t="shared" si="41"/>
        <v>1.9679460818660969E-10</v>
      </c>
      <c r="Y284" s="8">
        <v>1.0477418E-2</v>
      </c>
      <c r="Z284" s="8">
        <f t="shared" si="42"/>
        <v>4.6455601249839129E-7</v>
      </c>
      <c r="AA284" s="8">
        <v>6.5151274999999995E-2</v>
      </c>
      <c r="AB284" s="8">
        <f t="shared" si="43"/>
        <v>2.8887285515559389E-6</v>
      </c>
      <c r="AC284" s="8">
        <v>11.173348620000001</v>
      </c>
      <c r="AD284" s="18">
        <f t="shared" si="44"/>
        <v>4.9541273252261221E-4</v>
      </c>
      <c r="AE284" s="9">
        <v>90.4</v>
      </c>
      <c r="AF284" s="10">
        <v>81.7</v>
      </c>
      <c r="AG284" s="10">
        <v>60</v>
      </c>
      <c r="AH284" s="10">
        <v>91.8</v>
      </c>
      <c r="AI284" s="10">
        <v>86.5</v>
      </c>
      <c r="AJ284" s="10">
        <v>80.8</v>
      </c>
      <c r="AK284" s="11">
        <v>22553.616180000001</v>
      </c>
      <c r="AL284" s="11">
        <v>17.955546399999999</v>
      </c>
      <c r="AM284" s="11">
        <v>3716.3163519999998</v>
      </c>
      <c r="AN284" s="11">
        <v>27</v>
      </c>
      <c r="AO284" s="11">
        <v>87.302999999999997</v>
      </c>
      <c r="AP284" s="19">
        <v>9.8350037100000005</v>
      </c>
    </row>
    <row r="285" spans="2:42">
      <c r="B285" t="s">
        <v>59</v>
      </c>
      <c r="C285" t="s">
        <v>60</v>
      </c>
      <c r="D285" t="s">
        <v>61</v>
      </c>
      <c r="E285" t="s">
        <v>35</v>
      </c>
      <c r="F285" t="s">
        <v>36</v>
      </c>
      <c r="G285" t="s">
        <v>37</v>
      </c>
      <c r="H285" t="s">
        <v>38</v>
      </c>
      <c r="I285" t="s">
        <v>39</v>
      </c>
      <c r="J285" t="s">
        <v>40</v>
      </c>
      <c r="K285">
        <v>2014</v>
      </c>
      <c r="L285">
        <v>8.5862216031948199E-2</v>
      </c>
      <c r="M285" s="7">
        <v>0.258117924</v>
      </c>
      <c r="N285" s="7">
        <f t="shared" si="36"/>
        <v>1.1366716856873498E-5</v>
      </c>
      <c r="O285" s="8">
        <v>1.6293393490000001</v>
      </c>
      <c r="P285" s="8">
        <f t="shared" si="37"/>
        <v>7.1751077014882506E-5</v>
      </c>
      <c r="Q285" s="8">
        <v>0.36393150899999999</v>
      </c>
      <c r="R285" s="8">
        <f t="shared" si="38"/>
        <v>1.6026420614237191E-5</v>
      </c>
      <c r="S285" s="8">
        <v>0.325343198</v>
      </c>
      <c r="T285" s="8">
        <f t="shared" si="39"/>
        <v>1.4327110475968851E-5</v>
      </c>
      <c r="U285" s="8">
        <v>4.1993209999999998E-3</v>
      </c>
      <c r="V285" s="8">
        <f t="shared" si="40"/>
        <v>1.8492513831826288E-7</v>
      </c>
      <c r="W285" s="8">
        <v>3.3222989999999999E-3</v>
      </c>
      <c r="X285" s="8">
        <f t="shared" si="41"/>
        <v>8.1435324382271947E-12</v>
      </c>
      <c r="Y285" s="8">
        <v>1.561542E-3</v>
      </c>
      <c r="Z285" s="8">
        <f t="shared" si="42"/>
        <v>6.8765490978131199E-8</v>
      </c>
      <c r="AA285" s="8">
        <v>1.3705241E-2</v>
      </c>
      <c r="AB285" s="8">
        <f t="shared" si="43"/>
        <v>6.0353652116857168E-7</v>
      </c>
      <c r="AC285" s="8">
        <v>1.3909551330000001</v>
      </c>
      <c r="AD285" s="18">
        <f t="shared" si="44"/>
        <v>6.1253371762845176E-5</v>
      </c>
      <c r="AE285" s="9">
        <v>62</v>
      </c>
      <c r="AF285" s="10">
        <v>73.099999999999994</v>
      </c>
      <c r="AG285" s="10">
        <v>67.099999999999994</v>
      </c>
      <c r="AH285" s="10">
        <v>62.5</v>
      </c>
      <c r="AI285" s="10">
        <v>63.5</v>
      </c>
      <c r="AJ285" s="10">
        <v>64</v>
      </c>
      <c r="AK285" s="11">
        <v>22708.22149</v>
      </c>
      <c r="AL285" s="11">
        <v>26.9548281</v>
      </c>
      <c r="AM285" s="11">
        <v>3746.9077240000001</v>
      </c>
      <c r="AN285" s="11">
        <v>33.6</v>
      </c>
      <c r="AO285" s="11">
        <v>55.923000000000002</v>
      </c>
      <c r="AP285" s="19">
        <v>5.3474659100000004</v>
      </c>
    </row>
    <row r="286" spans="2:42">
      <c r="B286" t="s">
        <v>62</v>
      </c>
      <c r="C286" t="s">
        <v>63</v>
      </c>
      <c r="D286" t="s">
        <v>64</v>
      </c>
      <c r="E286" t="s">
        <v>35</v>
      </c>
      <c r="F286" t="s">
        <v>36</v>
      </c>
      <c r="G286" t="s">
        <v>37</v>
      </c>
      <c r="H286" t="s">
        <v>38</v>
      </c>
      <c r="I286" t="s">
        <v>39</v>
      </c>
      <c r="J286" t="s">
        <v>40</v>
      </c>
      <c r="K286">
        <v>2014</v>
      </c>
      <c r="L286">
        <v>0.26262040952145999</v>
      </c>
      <c r="M286" s="7">
        <v>8.2830048900000008</v>
      </c>
      <c r="N286" s="7">
        <f t="shared" si="36"/>
        <v>2.7453502737000417E-4</v>
      </c>
      <c r="O286" s="8">
        <v>0.36170702199999999</v>
      </c>
      <c r="P286" s="8">
        <f t="shared" si="37"/>
        <v>1.1988553490361719E-5</v>
      </c>
      <c r="Q286" s="8">
        <v>5.0949419999999999E-3</v>
      </c>
      <c r="R286" s="8">
        <f t="shared" si="38"/>
        <v>1.6886867266096514E-7</v>
      </c>
      <c r="S286" s="8">
        <v>2.7508770000000001E-3</v>
      </c>
      <c r="T286" s="8">
        <f t="shared" si="39"/>
        <v>9.1176101247782182E-8</v>
      </c>
      <c r="U286" s="8">
        <v>1.174715E-3</v>
      </c>
      <c r="V286" s="8">
        <f t="shared" si="40"/>
        <v>3.8935195494850713E-8</v>
      </c>
      <c r="W286" s="8">
        <v>1.815327E-3</v>
      </c>
      <c r="X286" s="8">
        <f t="shared" si="41"/>
        <v>1.2904827538783816E-12</v>
      </c>
      <c r="Y286" s="8"/>
      <c r="Z286" s="8">
        <f t="shared" si="42"/>
        <v>0</v>
      </c>
      <c r="AA286" s="8">
        <v>4.006936E-3</v>
      </c>
      <c r="AB286" s="8">
        <f t="shared" si="43"/>
        <v>1.3280739285303679E-7</v>
      </c>
      <c r="AC286" s="8">
        <v>0.56518037300000001</v>
      </c>
      <c r="AD286" s="18">
        <f t="shared" si="44"/>
        <v>1.8732550714520241E-5</v>
      </c>
      <c r="AE286" s="9">
        <v>82.2</v>
      </c>
      <c r="AF286" s="10">
        <v>83.7</v>
      </c>
      <c r="AG286" s="10">
        <v>63.8</v>
      </c>
      <c r="AH286" s="10">
        <v>82.7</v>
      </c>
      <c r="AI286" s="10">
        <v>82.7</v>
      </c>
      <c r="AJ286" s="10">
        <v>78.3</v>
      </c>
      <c r="AK286" s="11">
        <v>30171.03125</v>
      </c>
      <c r="AL286" s="11">
        <v>11.794372299999999</v>
      </c>
      <c r="AM286" s="11">
        <v>3475.6170109999998</v>
      </c>
      <c r="AN286" s="11">
        <v>9.5</v>
      </c>
      <c r="AO286" s="11">
        <v>67.031000000000006</v>
      </c>
      <c r="AP286" s="19">
        <v>233.165753</v>
      </c>
    </row>
    <row r="287" spans="2:42">
      <c r="B287" t="s">
        <v>65</v>
      </c>
      <c r="C287" t="s">
        <v>66</v>
      </c>
      <c r="D287" t="s">
        <v>67</v>
      </c>
      <c r="E287" t="s">
        <v>35</v>
      </c>
      <c r="F287" t="s">
        <v>36</v>
      </c>
      <c r="G287" t="s">
        <v>37</v>
      </c>
      <c r="H287" t="s">
        <v>38</v>
      </c>
      <c r="I287" t="s">
        <v>39</v>
      </c>
      <c r="J287" t="s">
        <v>40</v>
      </c>
      <c r="K287">
        <v>2014</v>
      </c>
      <c r="L287">
        <v>1.06188414194414</v>
      </c>
      <c r="M287" s="7">
        <v>8.2830048900000008</v>
      </c>
      <c r="N287" s="7">
        <f t="shared" si="36"/>
        <v>2.5296646595040074E-4</v>
      </c>
      <c r="O287" s="8">
        <v>5.1103800509999999</v>
      </c>
      <c r="P287" s="8">
        <f t="shared" si="37"/>
        <v>1.5607316406701996E-4</v>
      </c>
      <c r="Q287" s="8">
        <v>0.94371856300000001</v>
      </c>
      <c r="R287" s="8">
        <f t="shared" si="38"/>
        <v>2.8821563297894011E-5</v>
      </c>
      <c r="S287" s="8">
        <v>3.37855091</v>
      </c>
      <c r="T287" s="8">
        <f t="shared" si="39"/>
        <v>1.0318237102190222E-4</v>
      </c>
      <c r="U287" s="8">
        <v>3.2240617999999999E-2</v>
      </c>
      <c r="V287" s="8">
        <f t="shared" si="40"/>
        <v>9.8464208386056826E-7</v>
      </c>
      <c r="W287" s="8">
        <v>4.2938149000000002E-2</v>
      </c>
      <c r="X287" s="8">
        <f t="shared" si="41"/>
        <v>3.007138490054013E-11</v>
      </c>
      <c r="Y287" s="8">
        <v>1.6720577E-2</v>
      </c>
      <c r="Z287" s="8">
        <f t="shared" si="42"/>
        <v>5.106534800490205E-7</v>
      </c>
      <c r="AA287" s="8">
        <v>3.9812702999999998E-2</v>
      </c>
      <c r="AB287" s="8">
        <f t="shared" si="43"/>
        <v>1.2158967562607485E-6</v>
      </c>
      <c r="AC287" s="8">
        <v>4.7425419580000003</v>
      </c>
      <c r="AD287" s="18">
        <f t="shared" si="44"/>
        <v>1.4483923342664524E-4</v>
      </c>
      <c r="AE287" s="9">
        <v>67.3</v>
      </c>
      <c r="AF287" s="10">
        <v>81.3</v>
      </c>
      <c r="AG287" s="10">
        <v>83.3</v>
      </c>
      <c r="AH287" s="10">
        <v>80.8</v>
      </c>
      <c r="AI287" s="10">
        <v>84.6</v>
      </c>
      <c r="AJ287" s="10">
        <v>78.8</v>
      </c>
      <c r="AK287" s="11">
        <v>32743.48977</v>
      </c>
      <c r="AL287" s="11">
        <v>45.532245500000002</v>
      </c>
      <c r="AM287" s="11">
        <v>6270.6721209999996</v>
      </c>
      <c r="AN287" s="11">
        <v>14.8</v>
      </c>
      <c r="AO287" s="11">
        <v>73.384</v>
      </c>
      <c r="AP287" s="19">
        <v>3.8351015300000002</v>
      </c>
    </row>
    <row r="288" spans="2:42">
      <c r="B288" t="s">
        <v>68</v>
      </c>
      <c r="C288" t="s">
        <v>69</v>
      </c>
      <c r="D288" t="s">
        <v>70</v>
      </c>
      <c r="E288" t="s">
        <v>35</v>
      </c>
      <c r="F288" t="s">
        <v>36</v>
      </c>
      <c r="G288" t="s">
        <v>37</v>
      </c>
      <c r="H288" t="s">
        <v>38</v>
      </c>
      <c r="I288" t="s">
        <v>39</v>
      </c>
      <c r="J288" t="s">
        <v>40</v>
      </c>
      <c r="K288">
        <v>2014</v>
      </c>
      <c r="L288">
        <v>0.464171333533552</v>
      </c>
      <c r="M288" s="7">
        <v>760.4195555</v>
      </c>
      <c r="N288" s="7">
        <f t="shared" si="36"/>
        <v>1.5881912672948233E-2</v>
      </c>
      <c r="O288" s="8">
        <v>6.7623984899999998</v>
      </c>
      <c r="P288" s="8">
        <f t="shared" si="37"/>
        <v>1.4123758588406924E-4</v>
      </c>
      <c r="Q288" s="8">
        <v>0.34155440500000001</v>
      </c>
      <c r="R288" s="8">
        <f t="shared" si="38"/>
        <v>7.1336109047116605E-6</v>
      </c>
      <c r="S288" s="8">
        <v>0.41240651699999997</v>
      </c>
      <c r="T288" s="8">
        <f t="shared" si="39"/>
        <v>8.6134085339796884E-6</v>
      </c>
      <c r="U288" s="8">
        <v>7.873952E-3</v>
      </c>
      <c r="V288" s="8">
        <f t="shared" si="40"/>
        <v>1.6445318528500952E-7</v>
      </c>
      <c r="W288" s="8">
        <v>8.4078726000000006E-2</v>
      </c>
      <c r="X288" s="8">
        <f t="shared" si="41"/>
        <v>3.4347237766226762E-12</v>
      </c>
      <c r="Y288" s="13">
        <v>5.4432000000000005E-7</v>
      </c>
      <c r="Z288" s="8">
        <f t="shared" si="42"/>
        <v>1.1368517081935017E-11</v>
      </c>
      <c r="AA288" s="8">
        <v>1.6829481E-2</v>
      </c>
      <c r="AB288" s="8">
        <f t="shared" si="43"/>
        <v>3.5149588886794683E-7</v>
      </c>
      <c r="AC288" s="8">
        <v>1.927346132</v>
      </c>
      <c r="AD288" s="18">
        <f t="shared" si="44"/>
        <v>4.0254018636910975E-5</v>
      </c>
      <c r="AE288" s="9">
        <v>100</v>
      </c>
      <c r="AF288" s="10">
        <v>96.2</v>
      </c>
      <c r="AG288" s="10">
        <v>78.599999999999994</v>
      </c>
      <c r="AH288" s="10">
        <v>93.8</v>
      </c>
      <c r="AI288" s="10">
        <v>99.5</v>
      </c>
      <c r="AJ288" s="10">
        <v>97</v>
      </c>
      <c r="AK288" s="11">
        <v>47879.595560000002</v>
      </c>
      <c r="AL288" s="11">
        <v>66.315775000000002</v>
      </c>
      <c r="AM288" s="11">
        <v>5858.9787319999996</v>
      </c>
      <c r="AN288" s="11">
        <v>30.2</v>
      </c>
      <c r="AO288" s="11">
        <v>87.41</v>
      </c>
      <c r="AP288" s="19">
        <v>1.8641556800000001</v>
      </c>
    </row>
    <row r="289" spans="2:42">
      <c r="B289" t="s">
        <v>71</v>
      </c>
      <c r="C289" t="s">
        <v>72</v>
      </c>
      <c r="D289" t="s">
        <v>73</v>
      </c>
      <c r="E289" t="s">
        <v>35</v>
      </c>
      <c r="F289" t="s">
        <v>36</v>
      </c>
      <c r="G289" t="s">
        <v>37</v>
      </c>
      <c r="H289" t="s">
        <v>38</v>
      </c>
      <c r="I289" t="s">
        <v>39</v>
      </c>
      <c r="J289" t="s">
        <v>40</v>
      </c>
      <c r="K289">
        <v>2014</v>
      </c>
      <c r="L289">
        <v>0.152256365899023</v>
      </c>
      <c r="M289" s="7">
        <v>315.82625230000002</v>
      </c>
      <c r="N289" s="7">
        <f t="shared" si="36"/>
        <v>4.2089340841993818E-2</v>
      </c>
      <c r="O289" s="8">
        <v>1.969595097</v>
      </c>
      <c r="P289" s="8">
        <f t="shared" si="37"/>
        <v>2.6248280108015856E-4</v>
      </c>
      <c r="Q289" s="8">
        <v>8.2222363000000007E-2</v>
      </c>
      <c r="R289" s="8">
        <f t="shared" si="38"/>
        <v>1.0957559847982089E-5</v>
      </c>
      <c r="S289" s="8"/>
      <c r="T289" s="8">
        <f t="shared" si="39"/>
        <v>0</v>
      </c>
      <c r="U289" s="8">
        <v>9.8183600000000004E-4</v>
      </c>
      <c r="V289" s="8">
        <f t="shared" si="40"/>
        <v>1.3084672269639518E-7</v>
      </c>
      <c r="W289" s="8">
        <v>8.1387309999999997E-3</v>
      </c>
      <c r="X289" s="8">
        <f t="shared" si="41"/>
        <v>1.7437601432812951E-11</v>
      </c>
      <c r="Y289" s="8"/>
      <c r="Z289" s="8">
        <f t="shared" si="42"/>
        <v>0</v>
      </c>
      <c r="AA289" s="8">
        <v>1.3515953000000001E-2</v>
      </c>
      <c r="AB289" s="8">
        <f t="shared" si="43"/>
        <v>1.8012358012626452E-6</v>
      </c>
      <c r="AC289" s="8">
        <v>1.2369963669999999</v>
      </c>
      <c r="AD289" s="18">
        <f t="shared" si="44"/>
        <v>1.6485127924551276E-4</v>
      </c>
      <c r="AE289" s="9">
        <v>43.3</v>
      </c>
      <c r="AF289" s="10">
        <v>54.8</v>
      </c>
      <c r="AG289" s="10">
        <v>43.8</v>
      </c>
      <c r="AH289" s="10">
        <v>61.1</v>
      </c>
      <c r="AI289" s="10">
        <v>37</v>
      </c>
      <c r="AJ289" s="10">
        <v>51.2</v>
      </c>
      <c r="AK289" s="11">
        <v>7503.7110579999999</v>
      </c>
      <c r="AL289" s="11">
        <v>58.600386100000001</v>
      </c>
      <c r="AM289" s="11">
        <v>976.96640649999995</v>
      </c>
      <c r="AN289" s="11">
        <v>24</v>
      </c>
      <c r="AO289" s="11">
        <v>68.873999999999995</v>
      </c>
      <c r="AP289" s="19">
        <v>2.2408951400000001</v>
      </c>
    </row>
    <row r="290" spans="2:42">
      <c r="B290" t="s">
        <v>74</v>
      </c>
      <c r="C290" t="s">
        <v>75</v>
      </c>
      <c r="D290" t="s">
        <v>76</v>
      </c>
      <c r="E290" t="s">
        <v>35</v>
      </c>
      <c r="F290" t="s">
        <v>36</v>
      </c>
      <c r="G290" t="s">
        <v>37</v>
      </c>
      <c r="H290" t="s">
        <v>38</v>
      </c>
      <c r="I290" t="s">
        <v>39</v>
      </c>
      <c r="J290" t="s">
        <v>40</v>
      </c>
      <c r="K290">
        <v>2014</v>
      </c>
      <c r="L290">
        <v>0.68335209641948402</v>
      </c>
      <c r="M290" s="7">
        <v>5.9709649669999996</v>
      </c>
      <c r="N290" s="7">
        <f t="shared" si="36"/>
        <v>2.0306877721197307E-4</v>
      </c>
      <c r="O290" s="8">
        <v>0.92874536399999996</v>
      </c>
      <c r="P290" s="8">
        <f t="shared" si="37"/>
        <v>3.1586047891941828E-5</v>
      </c>
      <c r="Q290" s="8">
        <v>0.139827072</v>
      </c>
      <c r="R290" s="8">
        <f t="shared" si="38"/>
        <v>4.7554311052065701E-6</v>
      </c>
      <c r="S290" s="8">
        <v>4.9952874000000001E-2</v>
      </c>
      <c r="T290" s="8">
        <f t="shared" si="39"/>
        <v>1.6988659450300478E-6</v>
      </c>
      <c r="U290" s="8">
        <v>4.7849490000000001E-3</v>
      </c>
      <c r="V290" s="8">
        <f t="shared" si="40"/>
        <v>1.6273311731384228E-7</v>
      </c>
      <c r="W290" s="8">
        <v>2.2928765E-2</v>
      </c>
      <c r="X290" s="8">
        <f t="shared" si="41"/>
        <v>5.5344513537512642E-12</v>
      </c>
      <c r="Y290" s="8"/>
      <c r="Z290" s="8">
        <f t="shared" si="42"/>
        <v>0</v>
      </c>
      <c r="AA290" s="8">
        <v>3.1106060000000001E-3</v>
      </c>
      <c r="AB290" s="8">
        <f t="shared" si="43"/>
        <v>1.0578976100166203E-7</v>
      </c>
      <c r="AC290" s="8">
        <v>1.637402518</v>
      </c>
      <c r="AD290" s="18">
        <f t="shared" si="44"/>
        <v>5.5687033665703597E-5</v>
      </c>
      <c r="AE290" s="9">
        <v>88</v>
      </c>
      <c r="AF290" s="10">
        <v>80.3</v>
      </c>
      <c r="AG290" s="10">
        <v>72.900000000000006</v>
      </c>
      <c r="AH290" s="10">
        <v>93.3</v>
      </c>
      <c r="AI290" s="10">
        <v>87</v>
      </c>
      <c r="AJ290" s="10">
        <v>88.2</v>
      </c>
      <c r="AK290" s="11">
        <v>29403.658449999999</v>
      </c>
      <c r="AL290" s="11">
        <v>22.406257199999999</v>
      </c>
      <c r="AM290" s="11">
        <v>6732.3674730000002</v>
      </c>
      <c r="AN290" s="11">
        <v>25.3</v>
      </c>
      <c r="AO290" s="11">
        <v>68.269000000000005</v>
      </c>
      <c r="AP290" s="19">
        <v>6.58511618</v>
      </c>
    </row>
    <row r="291" spans="2:42">
      <c r="B291" t="s">
        <v>77</v>
      </c>
      <c r="C291" t="s">
        <v>78</v>
      </c>
      <c r="D291" t="s">
        <v>79</v>
      </c>
      <c r="E291" t="s">
        <v>35</v>
      </c>
      <c r="F291" t="s">
        <v>36</v>
      </c>
      <c r="G291" t="s">
        <v>37</v>
      </c>
      <c r="H291" t="s">
        <v>38</v>
      </c>
      <c r="I291" t="s">
        <v>39</v>
      </c>
      <c r="J291" t="s">
        <v>40</v>
      </c>
      <c r="K291">
        <v>2014</v>
      </c>
      <c r="L291">
        <v>0.25181612106507101</v>
      </c>
      <c r="M291" s="7">
        <v>14.06157934</v>
      </c>
      <c r="N291" s="7">
        <f t="shared" si="36"/>
        <v>3.3844913037483126E-4</v>
      </c>
      <c r="O291" s="8">
        <v>2.6490440319999999</v>
      </c>
      <c r="P291" s="8">
        <f t="shared" si="37"/>
        <v>6.3760024907347058E-5</v>
      </c>
      <c r="Q291" s="8">
        <v>0.55894097700000001</v>
      </c>
      <c r="R291" s="8">
        <f t="shared" si="38"/>
        <v>1.3453189220245055E-5</v>
      </c>
      <c r="S291" s="8">
        <v>0.13357124300000001</v>
      </c>
      <c r="T291" s="8">
        <f t="shared" si="39"/>
        <v>3.2149355305941951E-6</v>
      </c>
      <c r="U291" s="8">
        <v>0.13892601099999999</v>
      </c>
      <c r="V291" s="8">
        <f t="shared" si="40"/>
        <v>3.3438198137275698E-6</v>
      </c>
      <c r="W291" s="8">
        <v>0.14127726400000001</v>
      </c>
      <c r="X291" s="8">
        <f t="shared" si="41"/>
        <v>8.0482631482718375E-11</v>
      </c>
      <c r="Y291" s="8">
        <v>4.5551227999999999E-2</v>
      </c>
      <c r="Z291" s="8">
        <f t="shared" si="42"/>
        <v>1.0963756724147364E-6</v>
      </c>
      <c r="AA291" s="8">
        <v>2.4721564000000001E-2</v>
      </c>
      <c r="AB291" s="8">
        <f t="shared" si="43"/>
        <v>5.9502504199544171E-7</v>
      </c>
      <c r="AC291" s="8">
        <v>3.9757037300000002</v>
      </c>
      <c r="AD291" s="18">
        <f t="shared" si="44"/>
        <v>9.5691489377641495E-5</v>
      </c>
      <c r="AE291" s="9">
        <v>98.6</v>
      </c>
      <c r="AF291" s="10">
        <v>99</v>
      </c>
      <c r="AG291" s="10">
        <v>96.2</v>
      </c>
      <c r="AH291" s="10">
        <v>98.6</v>
      </c>
      <c r="AI291" s="10">
        <v>100</v>
      </c>
      <c r="AJ291" s="10">
        <v>97.5</v>
      </c>
      <c r="AK291" s="11">
        <v>41547.098449999998</v>
      </c>
      <c r="AL291" s="11">
        <v>7.4602652300000001</v>
      </c>
      <c r="AM291" s="11">
        <v>15251.27108</v>
      </c>
      <c r="AN291" s="11">
        <v>41.2</v>
      </c>
      <c r="AO291" s="11">
        <v>85.174999999999997</v>
      </c>
      <c r="AP291" s="19">
        <v>6.4153748200000003</v>
      </c>
    </row>
    <row r="292" spans="2:42">
      <c r="B292" t="s">
        <v>80</v>
      </c>
      <c r="C292" t="s">
        <v>81</v>
      </c>
      <c r="D292" t="s">
        <v>82</v>
      </c>
      <c r="E292" t="s">
        <v>35</v>
      </c>
      <c r="F292" t="s">
        <v>36</v>
      </c>
      <c r="G292" t="s">
        <v>37</v>
      </c>
      <c r="H292" t="s">
        <v>38</v>
      </c>
      <c r="I292" t="s">
        <v>39</v>
      </c>
      <c r="J292" t="s">
        <v>40</v>
      </c>
      <c r="K292">
        <v>2014</v>
      </c>
      <c r="L292">
        <v>1.02313508685833</v>
      </c>
      <c r="M292" s="7">
        <v>0.163806284</v>
      </c>
      <c r="N292" s="7">
        <f t="shared" si="36"/>
        <v>4.072946724822846E-6</v>
      </c>
      <c r="O292" s="8">
        <v>48.244642300000002</v>
      </c>
      <c r="P292" s="8">
        <f t="shared" si="37"/>
        <v>1.1995746014605566E-3</v>
      </c>
      <c r="Q292" s="8">
        <v>2.486653902</v>
      </c>
      <c r="R292" s="8">
        <f t="shared" si="38"/>
        <v>6.1829183951934652E-5</v>
      </c>
      <c r="S292" s="8">
        <v>3.2757651179999998</v>
      </c>
      <c r="T292" s="8">
        <f t="shared" si="39"/>
        <v>8.1449969334796836E-5</v>
      </c>
      <c r="U292" s="8">
        <v>0.10243028899999999</v>
      </c>
      <c r="V292" s="8">
        <f t="shared" si="40"/>
        <v>2.5468687764457654E-6</v>
      </c>
      <c r="W292" s="8">
        <v>0.159870279</v>
      </c>
      <c r="X292" s="8">
        <f t="shared" si="41"/>
        <v>6.3326391321949222E-11</v>
      </c>
      <c r="Y292" s="8">
        <v>6.6700941999999999E-2</v>
      </c>
      <c r="Z292" s="8">
        <f t="shared" si="42"/>
        <v>1.6584796176775403E-6</v>
      </c>
      <c r="AA292" s="8">
        <v>0.165163436</v>
      </c>
      <c r="AB292" s="8">
        <f t="shared" si="43"/>
        <v>4.106691509568019E-6</v>
      </c>
      <c r="AC292" s="8">
        <v>20.421085189999999</v>
      </c>
      <c r="AD292" s="18">
        <f t="shared" si="44"/>
        <v>5.0775824962819385E-4</v>
      </c>
      <c r="AE292" s="9">
        <v>87.5</v>
      </c>
      <c r="AF292" s="10">
        <v>88.5</v>
      </c>
      <c r="AG292" s="10">
        <v>58.1</v>
      </c>
      <c r="AH292" s="10">
        <v>81.7</v>
      </c>
      <c r="AI292" s="10">
        <v>88.5</v>
      </c>
      <c r="AJ292" s="10">
        <v>89.7</v>
      </c>
      <c r="AK292" s="11">
        <v>40218.12586</v>
      </c>
      <c r="AL292" s="11">
        <v>52.536082999999998</v>
      </c>
      <c r="AM292" s="11">
        <v>7100.8343020000002</v>
      </c>
      <c r="AN292" s="11">
        <v>13.2</v>
      </c>
      <c r="AO292" s="11">
        <v>79.394000000000005</v>
      </c>
      <c r="AP292" s="19">
        <v>0.17697416999999999</v>
      </c>
    </row>
    <row r="293" spans="2:42">
      <c r="B293" t="s">
        <v>83</v>
      </c>
      <c r="C293" t="s">
        <v>84</v>
      </c>
      <c r="D293" t="s">
        <v>85</v>
      </c>
      <c r="E293" t="s">
        <v>35</v>
      </c>
      <c r="F293" t="s">
        <v>36</v>
      </c>
      <c r="G293" t="s">
        <v>37</v>
      </c>
      <c r="H293" t="s">
        <v>38</v>
      </c>
      <c r="I293" t="s">
        <v>39</v>
      </c>
      <c r="J293" t="s">
        <v>40</v>
      </c>
      <c r="K293">
        <v>2014</v>
      </c>
      <c r="L293">
        <v>0.619134465095181</v>
      </c>
      <c r="M293" s="7">
        <v>20.501577309999998</v>
      </c>
      <c r="N293" s="7">
        <f t="shared" si="36"/>
        <v>1.7417468082825674E-3</v>
      </c>
      <c r="O293" s="8">
        <v>2.7783536990000002</v>
      </c>
      <c r="P293" s="8">
        <f t="shared" si="37"/>
        <v>2.3603982339216978E-4</v>
      </c>
      <c r="Q293" s="8">
        <v>0.16830886</v>
      </c>
      <c r="R293" s="8">
        <f t="shared" si="38"/>
        <v>1.429896906359921E-5</v>
      </c>
      <c r="S293" s="8">
        <v>0.120738949</v>
      </c>
      <c r="T293" s="8">
        <f t="shared" si="39"/>
        <v>1.0257585349472884E-5</v>
      </c>
      <c r="U293" s="8">
        <v>2.648535E-3</v>
      </c>
      <c r="V293" s="8">
        <f t="shared" si="40"/>
        <v>2.2501085224425934E-7</v>
      </c>
      <c r="W293" s="8">
        <v>7.2708199999999999E-4</v>
      </c>
      <c r="X293" s="8">
        <f t="shared" si="41"/>
        <v>1.9116184467144252E-11</v>
      </c>
      <c r="Y293" s="8">
        <v>7.9057439999999993E-3</v>
      </c>
      <c r="Z293" s="8">
        <f t="shared" si="42"/>
        <v>6.7164609682897885E-7</v>
      </c>
      <c r="AA293" s="8">
        <v>3.1379501999999997E-2</v>
      </c>
      <c r="AB293" s="8">
        <f t="shared" si="43"/>
        <v>2.6658996343338634E-6</v>
      </c>
      <c r="AC293" s="8">
        <v>1.4947907199999999</v>
      </c>
      <c r="AD293" s="18">
        <f t="shared" si="44"/>
        <v>1.2699251995310993E-4</v>
      </c>
      <c r="AE293" s="9">
        <v>77.400000000000006</v>
      </c>
      <c r="AF293" s="10">
        <v>68.8</v>
      </c>
      <c r="AG293" s="10">
        <v>34.799999999999997</v>
      </c>
      <c r="AH293" s="10">
        <v>75.5</v>
      </c>
      <c r="AI293" s="10">
        <v>63.9</v>
      </c>
      <c r="AJ293" s="10">
        <v>57.6</v>
      </c>
      <c r="AK293" s="11">
        <v>11770.69894</v>
      </c>
      <c r="AL293" s="11">
        <v>34.767592499999999</v>
      </c>
      <c r="AM293" s="11">
        <v>2693.9727600000001</v>
      </c>
      <c r="AN293" s="11">
        <v>30.7</v>
      </c>
      <c r="AO293" s="11">
        <v>57.067</v>
      </c>
      <c r="AP293" s="19">
        <v>10.224187300000001</v>
      </c>
    </row>
    <row r="294" spans="2:42">
      <c r="B294" t="s">
        <v>86</v>
      </c>
      <c r="C294" t="s">
        <v>87</v>
      </c>
      <c r="D294" t="s">
        <v>88</v>
      </c>
      <c r="E294" t="s">
        <v>35</v>
      </c>
      <c r="F294" t="s">
        <v>36</v>
      </c>
      <c r="G294" t="s">
        <v>37</v>
      </c>
      <c r="H294" t="s">
        <v>38</v>
      </c>
      <c r="I294" t="s">
        <v>39</v>
      </c>
      <c r="J294" t="s">
        <v>40</v>
      </c>
      <c r="K294">
        <v>2014</v>
      </c>
      <c r="L294">
        <v>0.56947561512999501</v>
      </c>
      <c r="M294" s="7">
        <v>16.317286429999999</v>
      </c>
      <c r="N294" s="7">
        <f t="shared" si="36"/>
        <v>3.4037747111734869E-4</v>
      </c>
      <c r="O294" s="8">
        <v>39.656345469999998</v>
      </c>
      <c r="P294" s="8">
        <f t="shared" si="37"/>
        <v>8.2722863527220241E-4</v>
      </c>
      <c r="Q294" s="8">
        <v>3.01972342</v>
      </c>
      <c r="R294" s="8">
        <f t="shared" si="38"/>
        <v>6.2991222565272548E-5</v>
      </c>
      <c r="S294" s="8">
        <v>11.56306556</v>
      </c>
      <c r="T294" s="8">
        <f t="shared" si="39"/>
        <v>2.4120475120426686E-4</v>
      </c>
      <c r="U294" s="8">
        <v>0.20466430399999999</v>
      </c>
      <c r="V294" s="8">
        <f t="shared" si="40"/>
        <v>4.2692832856959462E-6</v>
      </c>
      <c r="W294" s="8">
        <v>0.451184637</v>
      </c>
      <c r="X294" s="8">
        <f t="shared" si="41"/>
        <v>8.9056955303367282E-11</v>
      </c>
      <c r="Y294" s="8">
        <v>0.23083735</v>
      </c>
      <c r="Z294" s="8">
        <f t="shared" si="42"/>
        <v>4.8152512226526081E-6</v>
      </c>
      <c r="AA294" s="8">
        <v>0.30357319500000002</v>
      </c>
      <c r="AB294" s="8">
        <f t="shared" si="43"/>
        <v>6.3325159398524932E-6</v>
      </c>
      <c r="AC294" s="8">
        <v>15.68610485</v>
      </c>
      <c r="AD294" s="18">
        <f t="shared" si="44"/>
        <v>3.2721106682960754E-4</v>
      </c>
      <c r="AE294" s="9">
        <v>93.8</v>
      </c>
      <c r="AF294" s="10">
        <v>93.8</v>
      </c>
      <c r="AG294" s="10">
        <v>78.099999999999994</v>
      </c>
      <c r="AH294" s="10">
        <v>94.2</v>
      </c>
      <c r="AI294" s="10">
        <v>93.8</v>
      </c>
      <c r="AJ294" s="10">
        <v>96.1</v>
      </c>
      <c r="AK294" s="11">
        <v>47938.796820000003</v>
      </c>
      <c r="AL294" s="11">
        <v>47.9363715</v>
      </c>
      <c r="AM294" s="11">
        <v>7035.6188069999998</v>
      </c>
      <c r="AN294" s="11">
        <v>14</v>
      </c>
      <c r="AO294" s="11">
        <v>77.19</v>
      </c>
      <c r="AP294" s="19">
        <v>0.43765991999999998</v>
      </c>
    </row>
    <row r="295" spans="2:42">
      <c r="B295" t="s">
        <v>89</v>
      </c>
      <c r="C295" t="s">
        <v>90</v>
      </c>
      <c r="D295" t="s">
        <v>91</v>
      </c>
      <c r="E295" t="s">
        <v>35</v>
      </c>
      <c r="F295" t="s">
        <v>36</v>
      </c>
      <c r="G295" t="s">
        <v>37</v>
      </c>
      <c r="H295" t="s">
        <v>38</v>
      </c>
      <c r="I295" t="s">
        <v>39</v>
      </c>
      <c r="J295" t="s">
        <v>40</v>
      </c>
      <c r="K295">
        <v>2014</v>
      </c>
      <c r="L295">
        <v>1.4788192015166199</v>
      </c>
      <c r="M295" s="7">
        <v>0.55827235099999994</v>
      </c>
      <c r="N295" s="7">
        <f t="shared" si="36"/>
        <v>2.1106560444135901E-5</v>
      </c>
      <c r="O295" s="8">
        <v>4.6130707390000003</v>
      </c>
      <c r="P295" s="8">
        <f t="shared" si="37"/>
        <v>1.7440601565055509E-4</v>
      </c>
      <c r="Q295" s="8">
        <v>0.29409734999999998</v>
      </c>
      <c r="R295" s="8">
        <f t="shared" si="38"/>
        <v>1.1118916211981975E-5</v>
      </c>
      <c r="S295" s="8">
        <v>2.944733314</v>
      </c>
      <c r="T295" s="8">
        <f t="shared" si="39"/>
        <v>1.113313091226358E-4</v>
      </c>
      <c r="U295" s="8">
        <v>1.1831845000000001E-2</v>
      </c>
      <c r="V295" s="8">
        <f t="shared" si="40"/>
        <v>4.473256667840016E-7</v>
      </c>
      <c r="W295" s="8">
        <v>1.6856625E-2</v>
      </c>
      <c r="X295" s="8">
        <f t="shared" si="41"/>
        <v>1.6912007566339115E-11</v>
      </c>
      <c r="Y295" s="8">
        <v>3.1107999999999999E-3</v>
      </c>
      <c r="Z295" s="8">
        <f t="shared" si="42"/>
        <v>1.1760977972849308E-7</v>
      </c>
      <c r="AA295" s="8">
        <v>6.9580060999999999E-2</v>
      </c>
      <c r="AB295" s="8">
        <f t="shared" si="43"/>
        <v>2.630608090428543E-6</v>
      </c>
      <c r="AC295" s="8">
        <v>4.5995219719999998</v>
      </c>
      <c r="AD295" s="18">
        <f t="shared" si="44"/>
        <v>1.7389377844389999E-4</v>
      </c>
      <c r="AE295" s="9">
        <v>53.4</v>
      </c>
      <c r="AF295" s="10">
        <v>64.900000000000006</v>
      </c>
      <c r="AG295" s="10">
        <v>40.5</v>
      </c>
      <c r="AH295" s="10">
        <v>63.9</v>
      </c>
      <c r="AI295" s="10">
        <v>66.3</v>
      </c>
      <c r="AJ295" s="10">
        <v>68.5</v>
      </c>
      <c r="AK295" s="11">
        <v>26450.181329999999</v>
      </c>
      <c r="AL295" s="11">
        <v>48.107059700000001</v>
      </c>
      <c r="AM295" s="11">
        <v>5062.6064219999998</v>
      </c>
      <c r="AN295" s="11">
        <v>16.399999999999999</v>
      </c>
      <c r="AO295" s="11">
        <v>77.701999999999998</v>
      </c>
      <c r="AP295" s="19">
        <v>1.1531448</v>
      </c>
    </row>
    <row r="296" spans="2:42">
      <c r="B296" t="s">
        <v>92</v>
      </c>
      <c r="C296" t="s">
        <v>93</v>
      </c>
      <c r="D296" t="s">
        <v>94</v>
      </c>
      <c r="E296" t="s">
        <v>35</v>
      </c>
      <c r="F296" t="s">
        <v>36</v>
      </c>
      <c r="G296" t="s">
        <v>37</v>
      </c>
      <c r="H296" t="s">
        <v>38</v>
      </c>
      <c r="I296" t="s">
        <v>39</v>
      </c>
      <c r="J296" t="s">
        <v>40</v>
      </c>
      <c r="K296">
        <v>2014</v>
      </c>
      <c r="L296">
        <v>1.15842935066812</v>
      </c>
      <c r="M296" s="7">
        <v>20.501577309999998</v>
      </c>
      <c r="N296" s="7">
        <f t="shared" si="36"/>
        <v>7.9475152475983282E-4</v>
      </c>
      <c r="O296" s="8">
        <v>3.3471375000000001</v>
      </c>
      <c r="P296" s="8">
        <f t="shared" si="37"/>
        <v>1.2975307175064449E-4</v>
      </c>
      <c r="Q296" s="8">
        <v>0.65494054899999998</v>
      </c>
      <c r="R296" s="8">
        <f t="shared" si="38"/>
        <v>2.5389022126161082E-5</v>
      </c>
      <c r="S296" s="8">
        <v>2.1208378219999999</v>
      </c>
      <c r="T296" s="8">
        <f t="shared" si="39"/>
        <v>8.2215093371409615E-5</v>
      </c>
      <c r="U296" s="8">
        <v>9.7927180000000006E-3</v>
      </c>
      <c r="V296" s="8">
        <f t="shared" si="40"/>
        <v>3.7961847736695245E-7</v>
      </c>
      <c r="W296" s="8">
        <v>2.953049E-2</v>
      </c>
      <c r="X296" s="8">
        <f t="shared" si="41"/>
        <v>1.4716056191795105E-11</v>
      </c>
      <c r="Y296" s="8">
        <v>5.6415010000000002E-3</v>
      </c>
      <c r="Z296" s="8">
        <f t="shared" si="42"/>
        <v>2.1869495472902821E-7</v>
      </c>
      <c r="AA296" s="8">
        <v>1.9763125999999999E-2</v>
      </c>
      <c r="AB296" s="8">
        <f t="shared" si="43"/>
        <v>7.661251758838791E-7</v>
      </c>
      <c r="AC296" s="8">
        <v>3.3806174530000002</v>
      </c>
      <c r="AD296" s="18">
        <f t="shared" si="44"/>
        <v>1.3105093499761813E-4</v>
      </c>
      <c r="AE296" s="9">
        <v>61.1</v>
      </c>
      <c r="AF296" s="10">
        <v>72.099999999999994</v>
      </c>
      <c r="AG296" s="10">
        <v>68.599999999999994</v>
      </c>
      <c r="AH296" s="10">
        <v>75</v>
      </c>
      <c r="AI296" s="10">
        <v>70.7</v>
      </c>
      <c r="AJ296" s="10">
        <v>66.5</v>
      </c>
      <c r="AK296" s="11">
        <v>25796.2101</v>
      </c>
      <c r="AL296" s="11">
        <v>57.681350000000002</v>
      </c>
      <c r="AM296" s="11">
        <v>3982.6958869999999</v>
      </c>
      <c r="AN296" s="11">
        <v>15.7</v>
      </c>
      <c r="AO296" s="11">
        <v>70.227000000000004</v>
      </c>
      <c r="AP296" s="19">
        <v>9.1265022299999998</v>
      </c>
    </row>
    <row r="297" spans="2:42">
      <c r="B297" t="s">
        <v>95</v>
      </c>
      <c r="C297" t="s">
        <v>96</v>
      </c>
      <c r="D297" t="s">
        <v>97</v>
      </c>
      <c r="E297" t="s">
        <v>35</v>
      </c>
      <c r="F297" t="s">
        <v>36</v>
      </c>
      <c r="G297" t="s">
        <v>37</v>
      </c>
      <c r="H297" t="s">
        <v>38</v>
      </c>
      <c r="I297" t="s">
        <v>39</v>
      </c>
      <c r="J297" t="s">
        <v>40</v>
      </c>
      <c r="K297">
        <v>2014</v>
      </c>
      <c r="L297">
        <v>0.61637235498840603</v>
      </c>
      <c r="M297" s="7">
        <v>60.64273876</v>
      </c>
      <c r="N297" s="7">
        <f t="shared" si="36"/>
        <v>1.3184072865671176E-3</v>
      </c>
      <c r="O297" s="8">
        <v>0.31636574200000001</v>
      </c>
      <c r="P297" s="8">
        <f t="shared" si="37"/>
        <v>6.8779693661878534E-6</v>
      </c>
      <c r="Q297" s="8">
        <v>1.60253E-3</v>
      </c>
      <c r="R297" s="8">
        <f t="shared" si="38"/>
        <v>3.483990453175243E-8</v>
      </c>
      <c r="S297" s="13">
        <v>4.6851000000000003E-6</v>
      </c>
      <c r="T297" s="8">
        <f t="shared" si="39"/>
        <v>1.0185671202518102E-10</v>
      </c>
      <c r="U297" s="8">
        <v>1.574937E-3</v>
      </c>
      <c r="V297" s="8">
        <f t="shared" si="40"/>
        <v>3.4240017175044821E-8</v>
      </c>
      <c r="W297" s="14">
        <v>7.1569199999999997E-6</v>
      </c>
      <c r="X297" s="8">
        <f t="shared" si="41"/>
        <v>7.4439725280907392E-13</v>
      </c>
      <c r="Y297" s="8">
        <v>3.3799920000000001E-3</v>
      </c>
      <c r="Z297" s="8">
        <f t="shared" si="42"/>
        <v>7.3482929241940539E-8</v>
      </c>
      <c r="AA297" s="8">
        <v>2.370282E-3</v>
      </c>
      <c r="AB297" s="8">
        <f t="shared" si="43"/>
        <v>5.1531265307564428E-8</v>
      </c>
      <c r="AC297" s="8">
        <v>0.23513293599999999</v>
      </c>
      <c r="AD297" s="18">
        <f t="shared" si="44"/>
        <v>5.1119224242358362E-6</v>
      </c>
      <c r="AE297" s="9">
        <v>94.2</v>
      </c>
      <c r="AF297" s="10">
        <v>90.4</v>
      </c>
      <c r="AG297" s="10">
        <v>94.3</v>
      </c>
      <c r="AH297" s="10">
        <v>87</v>
      </c>
      <c r="AI297" s="10">
        <v>90.9</v>
      </c>
      <c r="AJ297" s="10">
        <v>93.1</v>
      </c>
      <c r="AK297" s="11">
        <v>45996.96875</v>
      </c>
      <c r="AL297" s="11">
        <v>18.675311700000002</v>
      </c>
      <c r="AM297" s="11">
        <v>53835.533589999999</v>
      </c>
      <c r="AN297" s="11">
        <v>77.599999999999994</v>
      </c>
      <c r="AO297" s="11">
        <v>93.667000000000002</v>
      </c>
      <c r="AP297" s="19">
        <v>4.2914150199999996</v>
      </c>
    </row>
    <row r="298" spans="2:42">
      <c r="B298" t="s">
        <v>98</v>
      </c>
      <c r="C298" t="s">
        <v>99</v>
      </c>
      <c r="D298" t="s">
        <v>100</v>
      </c>
      <c r="E298" t="s">
        <v>35</v>
      </c>
      <c r="F298" t="s">
        <v>36</v>
      </c>
      <c r="G298" t="s">
        <v>37</v>
      </c>
      <c r="H298" t="s">
        <v>38</v>
      </c>
      <c r="I298" t="s">
        <v>39</v>
      </c>
      <c r="J298" t="s">
        <v>40</v>
      </c>
      <c r="K298">
        <v>2014</v>
      </c>
      <c r="L298">
        <v>0.22588945754624601</v>
      </c>
      <c r="M298" s="7">
        <v>3270.3702490000001</v>
      </c>
      <c r="N298" s="7">
        <f t="shared" si="36"/>
        <v>0.32493543575798739</v>
      </c>
      <c r="O298" s="8">
        <v>114.958037</v>
      </c>
      <c r="P298" s="8">
        <f t="shared" si="37"/>
        <v>1.1421929935272549E-2</v>
      </c>
      <c r="Q298" s="8">
        <v>11.550453279999999</v>
      </c>
      <c r="R298" s="8">
        <f t="shared" si="38"/>
        <v>1.147622832884655E-3</v>
      </c>
      <c r="S298" s="8">
        <v>154.89537680000001</v>
      </c>
      <c r="T298" s="8">
        <f t="shared" si="39"/>
        <v>1.5389999579648712E-2</v>
      </c>
      <c r="U298" s="8">
        <v>0.42479495299999998</v>
      </c>
      <c r="V298" s="8">
        <f t="shared" si="40"/>
        <v>4.2206515669916973E-5</v>
      </c>
      <c r="W298" s="8">
        <v>0.102427907</v>
      </c>
      <c r="X298" s="8">
        <f t="shared" si="41"/>
        <v>4.1935290248021072E-9</v>
      </c>
      <c r="Y298" s="8">
        <v>4.2794209999999999E-2</v>
      </c>
      <c r="Z298" s="8">
        <f t="shared" si="42"/>
        <v>4.2519207965889314E-6</v>
      </c>
      <c r="AA298" s="8">
        <v>0.77539963000000001</v>
      </c>
      <c r="AB298" s="8">
        <f t="shared" si="43"/>
        <v>7.7041679527776371E-5</v>
      </c>
      <c r="AC298" s="8">
        <v>40.975188330000002</v>
      </c>
      <c r="AD298" s="18">
        <f t="shared" si="44"/>
        <v>4.0711875602908688E-3</v>
      </c>
      <c r="AE298" s="9">
        <v>32.200000000000003</v>
      </c>
      <c r="AF298" s="10">
        <v>51.4</v>
      </c>
      <c r="AG298" s="10">
        <v>30</v>
      </c>
      <c r="AH298" s="10">
        <v>51.9</v>
      </c>
      <c r="AI298" s="10">
        <v>44.7</v>
      </c>
      <c r="AJ298" s="10">
        <v>51.7</v>
      </c>
      <c r="AK298" s="11">
        <v>10064.67713</v>
      </c>
      <c r="AL298" s="11">
        <v>27.558176499999998</v>
      </c>
      <c r="AM298" s="11">
        <v>797.52809939999997</v>
      </c>
      <c r="AN298" s="11">
        <v>29.3</v>
      </c>
      <c r="AO298" s="11">
        <v>52.634999999999998</v>
      </c>
      <c r="AP298" s="19">
        <v>2.8199725999999998</v>
      </c>
    </row>
    <row r="299" spans="2:42">
      <c r="B299" t="s">
        <v>101</v>
      </c>
      <c r="C299" t="s">
        <v>102</v>
      </c>
      <c r="D299" t="s">
        <v>103</v>
      </c>
      <c r="E299" t="s">
        <v>35</v>
      </c>
      <c r="F299" t="s">
        <v>36</v>
      </c>
      <c r="G299" t="s">
        <v>37</v>
      </c>
      <c r="H299" t="s">
        <v>38</v>
      </c>
      <c r="I299" t="s">
        <v>39</v>
      </c>
      <c r="J299" t="s">
        <v>40</v>
      </c>
      <c r="K299">
        <v>2014</v>
      </c>
      <c r="L299">
        <v>0.57934695132890801</v>
      </c>
      <c r="M299" s="7">
        <v>63.004158099999998</v>
      </c>
      <c r="N299" s="7">
        <f t="shared" si="36"/>
        <v>1.1968696673138612E-3</v>
      </c>
      <c r="O299" s="8">
        <v>16.117939199999999</v>
      </c>
      <c r="P299" s="8">
        <f t="shared" si="37"/>
        <v>3.0618729159860071E-4</v>
      </c>
      <c r="Q299" s="8">
        <v>0.19344671999999999</v>
      </c>
      <c r="R299" s="8">
        <f t="shared" si="38"/>
        <v>3.6748449370892817E-6</v>
      </c>
      <c r="S299" s="8">
        <v>1.13299032</v>
      </c>
      <c r="T299" s="8">
        <f t="shared" si="39"/>
        <v>2.1523051624877201E-5</v>
      </c>
      <c r="U299" s="8">
        <v>1.0754355E-2</v>
      </c>
      <c r="V299" s="8">
        <f t="shared" si="40"/>
        <v>2.0429701275581619E-7</v>
      </c>
      <c r="W299" s="8">
        <v>1.5301832E-2</v>
      </c>
      <c r="X299" s="8">
        <f t="shared" si="41"/>
        <v>3.8809644484443857E-12</v>
      </c>
      <c r="Y299" s="8"/>
      <c r="Z299" s="8">
        <f t="shared" si="42"/>
        <v>0</v>
      </c>
      <c r="AA299" s="8">
        <v>1.3459427E-2</v>
      </c>
      <c r="AB299" s="8">
        <f t="shared" si="43"/>
        <v>2.5568439292779311E-7</v>
      </c>
      <c r="AC299" s="8">
        <v>0.83178644300000004</v>
      </c>
      <c r="AD299" s="18">
        <f t="shared" si="44"/>
        <v>1.5801178736956886E-5</v>
      </c>
      <c r="AE299" s="9">
        <v>92.8</v>
      </c>
      <c r="AF299" s="10">
        <v>91.8</v>
      </c>
      <c r="AG299" s="10">
        <v>87.1</v>
      </c>
      <c r="AH299" s="10">
        <v>95.2</v>
      </c>
      <c r="AI299" s="10">
        <v>92.8</v>
      </c>
      <c r="AJ299" s="10">
        <v>92.6</v>
      </c>
      <c r="AK299" s="11">
        <v>52640.784390000001</v>
      </c>
      <c r="AL299" s="11">
        <v>64.827986699999997</v>
      </c>
      <c r="AM299" s="11">
        <v>5626.3338009999998</v>
      </c>
      <c r="AN299" s="11">
        <v>8.8000000000000007</v>
      </c>
      <c r="AO299" s="11">
        <v>62.34</v>
      </c>
      <c r="AP299" s="19">
        <v>39.321182299999997</v>
      </c>
    </row>
    <row r="300" spans="2:42">
      <c r="B300" t="s">
        <v>104</v>
      </c>
      <c r="C300" t="s">
        <v>105</v>
      </c>
      <c r="D300" t="s">
        <v>106</v>
      </c>
      <c r="E300" t="s">
        <v>35</v>
      </c>
      <c r="F300" t="s">
        <v>36</v>
      </c>
      <c r="G300" t="s">
        <v>37</v>
      </c>
      <c r="H300" t="s">
        <v>38</v>
      </c>
      <c r="I300" t="s">
        <v>39</v>
      </c>
      <c r="J300" t="s">
        <v>40</v>
      </c>
      <c r="K300">
        <v>2014</v>
      </c>
      <c r="L300">
        <v>0.56486260350679696</v>
      </c>
      <c r="M300" s="7">
        <v>4.6175248079999998</v>
      </c>
      <c r="N300" s="7">
        <f t="shared" si="36"/>
        <v>1.3262559396397811E-4</v>
      </c>
      <c r="O300" s="8">
        <v>1.7424859109999999</v>
      </c>
      <c r="P300" s="8">
        <f t="shared" si="37"/>
        <v>5.0048075219835073E-5</v>
      </c>
      <c r="Q300" s="8">
        <v>9.4666449999999992E-3</v>
      </c>
      <c r="R300" s="8">
        <f t="shared" si="38"/>
        <v>2.719031230316074E-7</v>
      </c>
      <c r="S300" s="8">
        <v>0.28517094500000001</v>
      </c>
      <c r="T300" s="8">
        <f t="shared" si="39"/>
        <v>8.1907445080463838E-6</v>
      </c>
      <c r="U300" s="8">
        <v>3.0966819999999999E-3</v>
      </c>
      <c r="V300" s="8">
        <f t="shared" si="40"/>
        <v>8.894360217751528E-8</v>
      </c>
      <c r="W300" s="8">
        <v>2.6722362999999999E-2</v>
      </c>
      <c r="X300" s="8">
        <f t="shared" si="41"/>
        <v>2.5546582982405365E-12</v>
      </c>
      <c r="Y300" s="8">
        <v>1.848E-3</v>
      </c>
      <c r="Z300" s="8">
        <f t="shared" si="42"/>
        <v>5.3078674795813147E-8</v>
      </c>
      <c r="AA300" s="8">
        <v>5.0399562000000002E-2</v>
      </c>
      <c r="AB300" s="8">
        <f t="shared" si="43"/>
        <v>1.4475876413687349E-6</v>
      </c>
      <c r="AC300" s="8">
        <v>5.6746140980000002</v>
      </c>
      <c r="AD300" s="18">
        <f t="shared" si="44"/>
        <v>1.6298755211010746E-4</v>
      </c>
      <c r="AE300" s="9">
        <v>78.8</v>
      </c>
      <c r="AF300" s="10">
        <v>87</v>
      </c>
      <c r="AG300" s="10">
        <v>12.9</v>
      </c>
      <c r="AH300" s="10">
        <v>86.5</v>
      </c>
      <c r="AI300" s="10">
        <v>83.7</v>
      </c>
      <c r="AJ300" s="10">
        <v>70.900000000000006</v>
      </c>
      <c r="AK300" s="11">
        <v>34816.242250000003</v>
      </c>
      <c r="AL300" s="11">
        <v>24.847504600000001</v>
      </c>
      <c r="AM300" s="11">
        <v>6600.8982800000003</v>
      </c>
      <c r="AN300" s="11">
        <v>3.7</v>
      </c>
      <c r="AO300" s="11">
        <v>92.103999999999999</v>
      </c>
      <c r="AP300" s="19">
        <v>1.9201815499999999</v>
      </c>
    </row>
    <row r="301" spans="2:42">
      <c r="B301" t="s">
        <v>107</v>
      </c>
      <c r="C301" t="s">
        <v>108</v>
      </c>
      <c r="D301" t="s">
        <v>109</v>
      </c>
      <c r="E301" t="s">
        <v>35</v>
      </c>
      <c r="F301" t="s">
        <v>36</v>
      </c>
      <c r="G301" t="s">
        <v>37</v>
      </c>
      <c r="H301" t="s">
        <v>38</v>
      </c>
      <c r="I301" t="s">
        <v>39</v>
      </c>
      <c r="J301" t="s">
        <v>40</v>
      </c>
      <c r="K301">
        <v>2014</v>
      </c>
      <c r="L301">
        <v>0.89977602379247901</v>
      </c>
      <c r="M301" s="7">
        <v>78.721789880000003</v>
      </c>
      <c r="N301" s="7">
        <f t="shared" si="36"/>
        <v>2.1470153421870668E-3</v>
      </c>
      <c r="O301" s="8">
        <v>21.39584116</v>
      </c>
      <c r="P301" s="8">
        <f t="shared" si="37"/>
        <v>5.8353855139145277E-4</v>
      </c>
      <c r="Q301" s="8">
        <v>2.1679323410000002</v>
      </c>
      <c r="R301" s="8">
        <f t="shared" si="38"/>
        <v>5.9127009231443604E-5</v>
      </c>
      <c r="S301" s="8">
        <v>4.6375694210000002</v>
      </c>
      <c r="T301" s="8">
        <f t="shared" si="39"/>
        <v>1.2648254965394584E-4</v>
      </c>
      <c r="U301" s="8">
        <v>5.2896726999999998E-2</v>
      </c>
      <c r="V301" s="8">
        <f t="shared" si="40"/>
        <v>1.4426766031819403E-6</v>
      </c>
      <c r="W301" s="8">
        <v>0.228508767</v>
      </c>
      <c r="X301" s="8">
        <f t="shared" si="41"/>
        <v>3.9346778135603388E-11</v>
      </c>
      <c r="Y301" s="8">
        <v>3.9030712000000002E-2</v>
      </c>
      <c r="Z301" s="8">
        <f t="shared" si="42"/>
        <v>1.0645024409153443E-6</v>
      </c>
      <c r="AA301" s="8">
        <v>0.40208984199999998</v>
      </c>
      <c r="AB301" s="8">
        <f t="shared" si="43"/>
        <v>1.0966379969606116E-5</v>
      </c>
      <c r="AC301" s="8">
        <v>16.228235009999999</v>
      </c>
      <c r="AD301" s="18">
        <f t="shared" si="44"/>
        <v>4.4260006786176089E-4</v>
      </c>
      <c r="AE301" s="9">
        <v>56.7</v>
      </c>
      <c r="AF301" s="10">
        <v>70.7</v>
      </c>
      <c r="AG301" s="10">
        <v>60.5</v>
      </c>
      <c r="AH301" s="10">
        <v>71.2</v>
      </c>
      <c r="AI301" s="10">
        <v>67.8</v>
      </c>
      <c r="AJ301" s="10">
        <v>77.8</v>
      </c>
      <c r="AK301" s="11">
        <v>36665.685769999996</v>
      </c>
      <c r="AL301" s="11">
        <v>44.508619699999997</v>
      </c>
      <c r="AM301" s="11">
        <v>5041.2539100000004</v>
      </c>
      <c r="AN301" s="11">
        <v>17.100000000000001</v>
      </c>
      <c r="AO301" s="11">
        <v>69.272000000000006</v>
      </c>
      <c r="AP301" s="19">
        <v>0.78374328000000004</v>
      </c>
    </row>
    <row r="302" spans="2:42">
      <c r="B302" t="s">
        <v>110</v>
      </c>
      <c r="C302" t="s">
        <v>111</v>
      </c>
      <c r="D302" t="s">
        <v>112</v>
      </c>
      <c r="E302" t="s">
        <v>35</v>
      </c>
      <c r="F302" t="s">
        <v>36</v>
      </c>
      <c r="G302" t="s">
        <v>37</v>
      </c>
      <c r="H302" t="s">
        <v>38</v>
      </c>
      <c r="I302" t="s">
        <v>39</v>
      </c>
      <c r="J302" t="s">
        <v>40</v>
      </c>
      <c r="K302">
        <v>2014</v>
      </c>
      <c r="L302">
        <v>1.15897674510048</v>
      </c>
      <c r="M302" s="7">
        <v>1.398796342</v>
      </c>
      <c r="N302" s="7">
        <f t="shared" si="36"/>
        <v>3.5362957201567525E-5</v>
      </c>
      <c r="O302" s="8">
        <v>46.131438600000003</v>
      </c>
      <c r="P302" s="8">
        <f t="shared" si="37"/>
        <v>1.1662484665394843E-3</v>
      </c>
      <c r="Q302" s="8">
        <v>1.1393429470000001</v>
      </c>
      <c r="R302" s="8">
        <f t="shared" si="38"/>
        <v>2.8803718356212871E-5</v>
      </c>
      <c r="S302" s="8">
        <v>4.3206832579999999</v>
      </c>
      <c r="T302" s="8">
        <f t="shared" si="39"/>
        <v>1.0923115291803023E-4</v>
      </c>
      <c r="U302" s="8">
        <v>0.36568324699999999</v>
      </c>
      <c r="V302" s="8">
        <f t="shared" si="40"/>
        <v>9.2448347373439471E-6</v>
      </c>
      <c r="W302" s="8">
        <v>0.62078916200000001</v>
      </c>
      <c r="X302" s="8">
        <f t="shared" si="41"/>
        <v>2.3371858027940049E-10</v>
      </c>
      <c r="Y302" s="8">
        <v>0.331681958</v>
      </c>
      <c r="Z302" s="8">
        <f t="shared" si="42"/>
        <v>8.3852484690627805E-6</v>
      </c>
      <c r="AA302" s="8">
        <v>0.66504463899999999</v>
      </c>
      <c r="AB302" s="8">
        <f t="shared" si="43"/>
        <v>1.6812987280523588E-5</v>
      </c>
      <c r="AC302" s="8">
        <v>8.250634196</v>
      </c>
      <c r="AD302" s="18">
        <f t="shared" si="44"/>
        <v>2.0858420571916069E-4</v>
      </c>
      <c r="AE302" s="9">
        <v>92.3</v>
      </c>
      <c r="AF302" s="10">
        <v>96.6</v>
      </c>
      <c r="AG302" s="10">
        <v>80</v>
      </c>
      <c r="AH302" s="10">
        <v>83.7</v>
      </c>
      <c r="AI302" s="10">
        <v>89.4</v>
      </c>
      <c r="AJ302" s="10">
        <v>79.3</v>
      </c>
      <c r="AK302" s="11">
        <v>39555.41201</v>
      </c>
      <c r="AL302" s="11">
        <v>13.360768200000001</v>
      </c>
      <c r="AM302" s="11">
        <v>8113.242088</v>
      </c>
      <c r="AN302" s="11">
        <v>5.6</v>
      </c>
      <c r="AO302" s="11">
        <v>91.304000000000002</v>
      </c>
      <c r="AP302" s="19">
        <v>0.40335453999999998</v>
      </c>
    </row>
    <row r="303" spans="2:42">
      <c r="B303" t="s">
        <v>113</v>
      </c>
      <c r="C303" t="s">
        <v>114</v>
      </c>
      <c r="D303" t="s">
        <v>115</v>
      </c>
      <c r="E303" t="s">
        <v>35</v>
      </c>
      <c r="F303" t="s">
        <v>36</v>
      </c>
      <c r="G303" t="s">
        <v>37</v>
      </c>
      <c r="H303" t="s">
        <v>38</v>
      </c>
      <c r="I303" t="s">
        <v>39</v>
      </c>
      <c r="J303" t="s">
        <v>40</v>
      </c>
      <c r="K303">
        <v>2014</v>
      </c>
      <c r="L303">
        <v>0.67923637366546297</v>
      </c>
      <c r="M303" s="7">
        <v>17.399021390000001</v>
      </c>
      <c r="N303" s="7">
        <f t="shared" si="36"/>
        <v>7.5734542017007384E-4</v>
      </c>
      <c r="O303" s="8">
        <v>1.2377496139999999</v>
      </c>
      <c r="P303" s="8">
        <f t="shared" si="37"/>
        <v>5.3876823326336318E-5</v>
      </c>
      <c r="Q303" s="8">
        <v>0.23898276600000001</v>
      </c>
      <c r="R303" s="8">
        <f t="shared" si="38"/>
        <v>1.0402453061739493E-5</v>
      </c>
      <c r="S303" s="8">
        <v>0.162784506</v>
      </c>
      <c r="T303" s="8">
        <f t="shared" si="39"/>
        <v>7.08569162197851E-6</v>
      </c>
      <c r="U303" s="8">
        <v>1.5435711E-2</v>
      </c>
      <c r="V303" s="8">
        <f t="shared" si="40"/>
        <v>6.7188635331166918E-7</v>
      </c>
      <c r="W303" s="8">
        <v>1.4137996E-2</v>
      </c>
      <c r="X303" s="8">
        <f t="shared" si="41"/>
        <v>2.9245900740591295E-11</v>
      </c>
      <c r="Y303" s="8"/>
      <c r="Z303" s="8">
        <f t="shared" si="42"/>
        <v>0</v>
      </c>
      <c r="AA303" s="8">
        <v>8.7775179999999998E-3</v>
      </c>
      <c r="AB303" s="8">
        <f t="shared" si="43"/>
        <v>3.8206821572051562E-7</v>
      </c>
      <c r="AC303" s="8">
        <v>0.77029518200000002</v>
      </c>
      <c r="AD303" s="18">
        <f t="shared" si="44"/>
        <v>3.3529444857287662E-5</v>
      </c>
      <c r="AE303" s="9">
        <v>66.8</v>
      </c>
      <c r="AF303" s="10">
        <v>77.900000000000006</v>
      </c>
      <c r="AG303" s="10">
        <v>61.9</v>
      </c>
      <c r="AH303" s="10">
        <v>85.1</v>
      </c>
      <c r="AI303" s="10">
        <v>77.900000000000006</v>
      </c>
      <c r="AJ303" s="10">
        <v>72.400000000000006</v>
      </c>
      <c r="AK303" s="11">
        <v>22973.69328</v>
      </c>
      <c r="AL303" s="11">
        <v>30.083404300000002</v>
      </c>
      <c r="AM303" s="11">
        <v>3506.401402</v>
      </c>
      <c r="AN303" s="11">
        <v>40.200000000000003</v>
      </c>
      <c r="AO303" s="11">
        <v>67.951999999999998</v>
      </c>
      <c r="AP303" s="19">
        <v>3.45179532</v>
      </c>
    </row>
    <row r="304" spans="2:42">
      <c r="B304" t="s">
        <v>116</v>
      </c>
      <c r="C304" t="s">
        <v>117</v>
      </c>
      <c r="D304" t="s">
        <v>118</v>
      </c>
      <c r="E304" t="s">
        <v>35</v>
      </c>
      <c r="F304" t="s">
        <v>36</v>
      </c>
      <c r="G304" t="s">
        <v>37</v>
      </c>
      <c r="H304" t="s">
        <v>38</v>
      </c>
      <c r="I304" t="s">
        <v>39</v>
      </c>
      <c r="J304" t="s">
        <v>40</v>
      </c>
      <c r="K304">
        <v>2014</v>
      </c>
      <c r="L304">
        <v>0.60852402730356803</v>
      </c>
      <c r="M304" s="7">
        <v>80.376804780000001</v>
      </c>
      <c r="N304" s="7">
        <f t="shared" si="36"/>
        <v>2.8700064473555099E-3</v>
      </c>
      <c r="O304" s="8">
        <v>2.3786131940000002</v>
      </c>
      <c r="P304" s="8">
        <f t="shared" si="37"/>
        <v>8.4932900993391324E-5</v>
      </c>
      <c r="Q304" s="8">
        <v>0.21805617599999999</v>
      </c>
      <c r="R304" s="8">
        <f t="shared" si="38"/>
        <v>7.7861098449811721E-6</v>
      </c>
      <c r="S304" s="8">
        <v>0.24395665899999999</v>
      </c>
      <c r="T304" s="8">
        <f t="shared" si="39"/>
        <v>8.7109357745896402E-6</v>
      </c>
      <c r="U304" s="8">
        <v>4.7428920000000003E-3</v>
      </c>
      <c r="V304" s="8">
        <f t="shared" si="40"/>
        <v>1.6935396544275108E-7</v>
      </c>
      <c r="W304" s="8">
        <v>1.8245284000000001E-2</v>
      </c>
      <c r="X304" s="8">
        <f t="shared" si="41"/>
        <v>6.0471049332737339E-12</v>
      </c>
      <c r="Y304" s="8">
        <v>3.6064000000000001E-3</v>
      </c>
      <c r="Z304" s="8">
        <f t="shared" si="42"/>
        <v>1.2877336042497646E-7</v>
      </c>
      <c r="AA304" s="8">
        <v>1.6644031E-2</v>
      </c>
      <c r="AB304" s="8">
        <f t="shared" si="43"/>
        <v>5.9430673327625369E-7</v>
      </c>
      <c r="AC304" s="8">
        <v>1.408082713</v>
      </c>
      <c r="AD304" s="18">
        <f t="shared" si="44"/>
        <v>5.0278267166517217E-5</v>
      </c>
      <c r="AE304" s="9">
        <v>70.2</v>
      </c>
      <c r="AF304" s="10">
        <v>78.8</v>
      </c>
      <c r="AG304" s="10">
        <v>70.5</v>
      </c>
      <c r="AH304" s="10">
        <v>85.6</v>
      </c>
      <c r="AI304" s="10">
        <v>78.8</v>
      </c>
      <c r="AJ304" s="10">
        <v>76.400000000000006</v>
      </c>
      <c r="AK304" s="11">
        <v>28005.792409999998</v>
      </c>
      <c r="AL304" s="11">
        <v>47.125299300000002</v>
      </c>
      <c r="AM304" s="11">
        <v>3814.7888520000001</v>
      </c>
      <c r="AN304" s="11">
        <v>27.7</v>
      </c>
      <c r="AO304" s="11">
        <v>67.108000000000004</v>
      </c>
      <c r="AP304" s="19">
        <v>0.73969936000000003</v>
      </c>
    </row>
    <row r="305" spans="2:42">
      <c r="B305" t="s">
        <v>119</v>
      </c>
      <c r="C305" t="s">
        <v>120</v>
      </c>
      <c r="D305" t="s">
        <v>121</v>
      </c>
      <c r="E305" t="s">
        <v>35</v>
      </c>
      <c r="F305" t="s">
        <v>36</v>
      </c>
      <c r="G305" t="s">
        <v>37</v>
      </c>
      <c r="H305" t="s">
        <v>38</v>
      </c>
      <c r="I305" t="s">
        <v>39</v>
      </c>
      <c r="J305" t="s">
        <v>40</v>
      </c>
      <c r="K305">
        <v>2014</v>
      </c>
      <c r="L305">
        <v>0.78077592182470801</v>
      </c>
      <c r="M305" s="7">
        <v>11.690652350000001</v>
      </c>
      <c r="N305" s="7">
        <f t="shared" si="36"/>
        <v>1.1102625695114033E-4</v>
      </c>
      <c r="O305" s="8">
        <v>0.491995144</v>
      </c>
      <c r="P305" s="8">
        <f t="shared" si="37"/>
        <v>4.6724834201794805E-6</v>
      </c>
      <c r="Q305" s="8">
        <v>1.0368268E-2</v>
      </c>
      <c r="R305" s="8">
        <f t="shared" si="38"/>
        <v>9.8467557895200415E-8</v>
      </c>
      <c r="S305" s="8">
        <v>2.4474652E-2</v>
      </c>
      <c r="T305" s="8">
        <f t="shared" si="39"/>
        <v>2.324360455164626E-7</v>
      </c>
      <c r="U305" s="8">
        <v>2.446738E-3</v>
      </c>
      <c r="V305" s="8">
        <f t="shared" si="40"/>
        <v>2.3236698325061319E-8</v>
      </c>
      <c r="W305" s="8">
        <v>2.6776090000000001E-3</v>
      </c>
      <c r="X305" s="8">
        <f t="shared" si="41"/>
        <v>2.2067918553188265E-13</v>
      </c>
      <c r="Y305" s="8"/>
      <c r="Z305" s="8">
        <f t="shared" si="42"/>
        <v>0</v>
      </c>
      <c r="AA305" s="8">
        <v>5.0592880000000003E-3</v>
      </c>
      <c r="AB305" s="8">
        <f t="shared" si="43"/>
        <v>4.8048115080406172E-8</v>
      </c>
      <c r="AC305" s="8">
        <v>8.4946391999999996E-2</v>
      </c>
      <c r="AD305" s="18">
        <f t="shared" si="44"/>
        <v>8.0673684093123264E-7</v>
      </c>
      <c r="AE305" s="9">
        <v>96.6</v>
      </c>
      <c r="AF305" s="10">
        <v>93.3</v>
      </c>
      <c r="AG305" s="10">
        <v>97.6</v>
      </c>
      <c r="AH305" s="10">
        <v>92.3</v>
      </c>
      <c r="AI305" s="10">
        <v>95.7</v>
      </c>
      <c r="AJ305" s="10">
        <v>98.5</v>
      </c>
      <c r="AK305" s="11">
        <v>105296.2846</v>
      </c>
      <c r="AL305" s="11">
        <v>50.880572999999998</v>
      </c>
      <c r="AM305" s="11">
        <v>13851.7649</v>
      </c>
      <c r="AN305" s="11">
        <v>6.8</v>
      </c>
      <c r="AO305" s="11">
        <v>89.884</v>
      </c>
      <c r="AP305" s="19">
        <v>29.155393700000001</v>
      </c>
    </row>
    <row r="306" spans="2:42">
      <c r="B306" t="s">
        <v>122</v>
      </c>
      <c r="C306" t="s">
        <v>123</v>
      </c>
      <c r="D306" t="s">
        <v>124</v>
      </c>
      <c r="E306" t="s">
        <v>35</v>
      </c>
      <c r="F306" t="s">
        <v>36</v>
      </c>
      <c r="G306" t="s">
        <v>37</v>
      </c>
      <c r="H306" t="s">
        <v>38</v>
      </c>
      <c r="I306" t="s">
        <v>39</v>
      </c>
      <c r="J306" t="s">
        <v>40</v>
      </c>
      <c r="K306">
        <v>2014</v>
      </c>
      <c r="L306">
        <v>1.50270200225046</v>
      </c>
      <c r="M306" s="7">
        <v>8.7771060999999997E-2</v>
      </c>
      <c r="N306" s="7">
        <f t="shared" si="36"/>
        <v>2.4930859498298251E-6</v>
      </c>
      <c r="O306" s="8">
        <v>5.3942375000000001E-2</v>
      </c>
      <c r="P306" s="8">
        <f t="shared" si="37"/>
        <v>1.5322017949965494E-6</v>
      </c>
      <c r="Q306" s="8">
        <v>8.6259200000000002E-4</v>
      </c>
      <c r="R306" s="8">
        <f t="shared" si="38"/>
        <v>2.4501424172548269E-8</v>
      </c>
      <c r="S306" s="13">
        <v>6.8324999999999994E-5</v>
      </c>
      <c r="T306" s="8">
        <f t="shared" si="39"/>
        <v>1.9407318947884519E-9</v>
      </c>
      <c r="U306" s="14">
        <v>6.7337500000000004E-5</v>
      </c>
      <c r="V306" s="8">
        <f t="shared" si="40"/>
        <v>1.9126825315084875E-9</v>
      </c>
      <c r="W306" s="8">
        <v>1.0804320000000001E-3</v>
      </c>
      <c r="X306" s="8">
        <f t="shared" si="41"/>
        <v>5.4328635104328433E-14</v>
      </c>
      <c r="Y306" s="8"/>
      <c r="Z306" s="8">
        <f t="shared" si="42"/>
        <v>0</v>
      </c>
      <c r="AA306" s="8">
        <v>1.2073909999999999E-3</v>
      </c>
      <c r="AB306" s="8">
        <f t="shared" si="43"/>
        <v>3.4295239270845578E-8</v>
      </c>
      <c r="AC306" s="8">
        <v>7.8847880999999995E-2</v>
      </c>
      <c r="AD306" s="18">
        <f t="shared" si="44"/>
        <v>2.2396282106576565E-6</v>
      </c>
      <c r="AE306" s="9">
        <v>78.400000000000006</v>
      </c>
      <c r="AF306" s="10">
        <v>80.8</v>
      </c>
      <c r="AG306" s="10">
        <v>90.5</v>
      </c>
      <c r="AH306" s="10">
        <v>82.2</v>
      </c>
      <c r="AI306" s="10">
        <v>86.1</v>
      </c>
      <c r="AJ306" s="10">
        <v>89.2</v>
      </c>
      <c r="AK306" s="11">
        <v>35205.790240000002</v>
      </c>
      <c r="AL306" s="11">
        <v>31.96875</v>
      </c>
      <c r="AM306" s="11">
        <v>4874.4927690000004</v>
      </c>
      <c r="AN306" s="11">
        <v>4.5</v>
      </c>
      <c r="AO306" s="11">
        <v>94.346999999999994</v>
      </c>
      <c r="AP306" s="19">
        <v>1.3112239000000001</v>
      </c>
    </row>
    <row r="307" spans="2:42">
      <c r="B307" t="s">
        <v>125</v>
      </c>
      <c r="C307" t="s">
        <v>126</v>
      </c>
      <c r="D307" t="s">
        <v>127</v>
      </c>
      <c r="E307" t="s">
        <v>35</v>
      </c>
      <c r="F307" t="s">
        <v>36</v>
      </c>
      <c r="G307" t="s">
        <v>37</v>
      </c>
      <c r="H307" t="s">
        <v>38</v>
      </c>
      <c r="I307" t="s">
        <v>39</v>
      </c>
      <c r="J307" t="s">
        <v>40</v>
      </c>
      <c r="K307">
        <v>2014</v>
      </c>
      <c r="L307">
        <v>0.54154700021935298</v>
      </c>
      <c r="M307" s="7">
        <v>293.00448740000002</v>
      </c>
      <c r="N307" s="7">
        <f t="shared" si="36"/>
        <v>1.5367548453144751E-2</v>
      </c>
      <c r="O307" s="8">
        <v>3.2474401E-2</v>
      </c>
      <c r="P307" s="8">
        <f t="shared" si="37"/>
        <v>1.7032228252977682E-6</v>
      </c>
      <c r="Q307" s="8">
        <v>2.3610269999999999E-3</v>
      </c>
      <c r="R307" s="8">
        <f t="shared" si="38"/>
        <v>1.2383153972707036E-7</v>
      </c>
      <c r="S307" s="8">
        <v>2.8644E-3</v>
      </c>
      <c r="T307" s="8">
        <f t="shared" si="39"/>
        <v>1.5023253117995701E-7</v>
      </c>
      <c r="U307" s="8">
        <v>1.652059E-3</v>
      </c>
      <c r="V307" s="8">
        <f t="shared" si="40"/>
        <v>8.6647467263171557E-8</v>
      </c>
      <c r="W307" s="8">
        <v>6.9907729999999996E-3</v>
      </c>
      <c r="X307" s="8">
        <f t="shared" si="41"/>
        <v>4.5445008823064952E-12</v>
      </c>
      <c r="Y307" s="8"/>
      <c r="Z307" s="8">
        <f t="shared" si="42"/>
        <v>0</v>
      </c>
      <c r="AA307" s="8">
        <v>6.2436540000000004E-3</v>
      </c>
      <c r="AB307" s="8">
        <f t="shared" si="43"/>
        <v>3.2746821122464158E-7</v>
      </c>
      <c r="AC307" s="8">
        <v>0.48526586999999999</v>
      </c>
      <c r="AD307" s="18">
        <f t="shared" si="44"/>
        <v>2.5451305664482604E-5</v>
      </c>
      <c r="AE307" s="9">
        <v>64.900000000000006</v>
      </c>
      <c r="AF307" s="10">
        <v>84.6</v>
      </c>
      <c r="AG307" s="10">
        <v>68.099999999999994</v>
      </c>
      <c r="AH307" s="10">
        <v>86.1</v>
      </c>
      <c r="AI307" s="10">
        <v>79.3</v>
      </c>
      <c r="AJ307" s="10">
        <v>73.900000000000006</v>
      </c>
      <c r="AK307" s="11">
        <v>19066.443050000002</v>
      </c>
      <c r="AL307" s="11">
        <v>43.064596899999998</v>
      </c>
      <c r="AM307" s="11">
        <v>2184.413673</v>
      </c>
      <c r="AN307" s="11">
        <v>10.6</v>
      </c>
      <c r="AO307" s="11">
        <v>41.110999999999997</v>
      </c>
      <c r="AP307" s="19">
        <v>3.4844548099999999</v>
      </c>
    </row>
    <row r="308" spans="2:42">
      <c r="B308" t="s">
        <v>128</v>
      </c>
      <c r="C308" t="s">
        <v>129</v>
      </c>
      <c r="D308" t="s">
        <v>130</v>
      </c>
      <c r="E308" t="s">
        <v>35</v>
      </c>
      <c r="F308" t="s">
        <v>36</v>
      </c>
      <c r="G308" t="s">
        <v>37</v>
      </c>
      <c r="H308" t="s">
        <v>38</v>
      </c>
      <c r="I308" t="s">
        <v>39</v>
      </c>
      <c r="J308" t="s">
        <v>40</v>
      </c>
      <c r="K308">
        <v>2014</v>
      </c>
      <c r="L308">
        <v>0.43361770548016199</v>
      </c>
      <c r="M308" s="7">
        <v>293.00448740000002</v>
      </c>
      <c r="N308" s="7">
        <f t="shared" si="36"/>
        <v>3.3900533046525246E-2</v>
      </c>
      <c r="O308" s="8">
        <v>1.112397463</v>
      </c>
      <c r="P308" s="8">
        <f t="shared" si="37"/>
        <v>1.2870405941537924E-4</v>
      </c>
      <c r="Q308" s="8">
        <v>0.23379150700000001</v>
      </c>
      <c r="R308" s="8">
        <f t="shared" si="38"/>
        <v>2.7049608623333451E-5</v>
      </c>
      <c r="S308" s="8">
        <v>9.3230331999999999E-2</v>
      </c>
      <c r="T308" s="8">
        <f t="shared" si="39"/>
        <v>1.0786722001939277E-5</v>
      </c>
      <c r="U308" s="8">
        <v>8.0444100000000003E-4</v>
      </c>
      <c r="V308" s="8">
        <f t="shared" si="40"/>
        <v>9.307358718793402E-8</v>
      </c>
      <c r="W308" s="8">
        <v>2.2698079999999999E-3</v>
      </c>
      <c r="X308" s="8">
        <f t="shared" si="41"/>
        <v>1.0768586673267468E-11</v>
      </c>
      <c r="Y308" s="8"/>
      <c r="Z308" s="8">
        <f t="shared" si="42"/>
        <v>0</v>
      </c>
      <c r="AA308" s="8">
        <v>7.8426729999999997E-3</v>
      </c>
      <c r="AB308" s="8">
        <f t="shared" si="43"/>
        <v>9.0739496029162605E-7</v>
      </c>
      <c r="AC308" s="8">
        <v>0.84223429699999997</v>
      </c>
      <c r="AD308" s="18">
        <f t="shared" si="44"/>
        <v>9.7446260539303444E-5</v>
      </c>
      <c r="AE308" s="9">
        <v>20.7</v>
      </c>
      <c r="AF308" s="10">
        <v>38</v>
      </c>
      <c r="AG308" s="10">
        <v>39</v>
      </c>
      <c r="AH308" s="10">
        <v>52.9</v>
      </c>
      <c r="AI308" s="10">
        <v>46.2</v>
      </c>
      <c r="AJ308" s="10">
        <v>49.3</v>
      </c>
      <c r="AK308" s="11">
        <v>8643.0643139999993</v>
      </c>
      <c r="AL308" s="11">
        <v>70.407542599999999</v>
      </c>
      <c r="AM308" s="11">
        <v>1911.950214</v>
      </c>
      <c r="AN308" s="11">
        <v>24.3</v>
      </c>
      <c r="AO308" s="11">
        <v>42.496000000000002</v>
      </c>
      <c r="AP308" s="19">
        <v>3.6789692000000001</v>
      </c>
    </row>
    <row r="309" spans="2:42">
      <c r="B309" t="s">
        <v>131</v>
      </c>
      <c r="C309" t="s">
        <v>132</v>
      </c>
      <c r="D309" t="s">
        <v>133</v>
      </c>
      <c r="E309" t="s">
        <v>35</v>
      </c>
      <c r="F309" t="s">
        <v>36</v>
      </c>
      <c r="G309" t="s">
        <v>37</v>
      </c>
      <c r="H309" t="s">
        <v>38</v>
      </c>
      <c r="I309" t="s">
        <v>39</v>
      </c>
      <c r="J309" t="s">
        <v>40</v>
      </c>
      <c r="K309">
        <v>2014</v>
      </c>
      <c r="L309">
        <v>1.4234022276490601</v>
      </c>
      <c r="M309" s="7">
        <v>11.648188429999999</v>
      </c>
      <c r="N309" s="7">
        <f t="shared" si="36"/>
        <v>2.3412827915950511E-4</v>
      </c>
      <c r="O309" s="8">
        <v>13.39535094</v>
      </c>
      <c r="P309" s="8">
        <f t="shared" si="37"/>
        <v>2.6924619936972115E-4</v>
      </c>
      <c r="Q309" s="8">
        <v>0.26084509</v>
      </c>
      <c r="R309" s="8">
        <f t="shared" si="38"/>
        <v>5.2429794054169708E-6</v>
      </c>
      <c r="S309" s="8">
        <v>2.857843699</v>
      </c>
      <c r="T309" s="8">
        <f t="shared" si="39"/>
        <v>5.7442582713585511E-5</v>
      </c>
      <c r="U309" s="8">
        <v>1.7791372E-2</v>
      </c>
      <c r="V309" s="8">
        <f t="shared" si="40"/>
        <v>3.5760610632966924E-7</v>
      </c>
      <c r="W309" s="8">
        <v>0.121688168</v>
      </c>
      <c r="X309" s="8">
        <f t="shared" si="41"/>
        <v>7.1878732727451654E-12</v>
      </c>
      <c r="Y309" s="8">
        <v>9.0562410999999995E-2</v>
      </c>
      <c r="Z309" s="8">
        <f t="shared" si="42"/>
        <v>1.8203020642554832E-6</v>
      </c>
      <c r="AA309" s="8">
        <v>7.2809905999999994E-2</v>
      </c>
      <c r="AB309" s="8">
        <f t="shared" si="43"/>
        <v>1.4634771835971514E-6</v>
      </c>
      <c r="AC309" s="8">
        <v>4.7594162620000002</v>
      </c>
      <c r="AD309" s="18">
        <f t="shared" si="44"/>
        <v>9.566414090245142E-5</v>
      </c>
      <c r="AE309" s="9">
        <v>95.7</v>
      </c>
      <c r="AF309" s="10">
        <v>98.1</v>
      </c>
      <c r="AG309" s="10">
        <v>86.2</v>
      </c>
      <c r="AH309" s="10">
        <v>95.7</v>
      </c>
      <c r="AI309" s="10">
        <v>97.1</v>
      </c>
      <c r="AJ309" s="10">
        <v>98</v>
      </c>
      <c r="AK309" s="11">
        <v>49751.309289999997</v>
      </c>
      <c r="AL309" s="11">
        <v>54.588898800000003</v>
      </c>
      <c r="AM309" s="11">
        <v>6709.2170960000003</v>
      </c>
      <c r="AN309" s="11">
        <v>5.6</v>
      </c>
      <c r="AO309" s="11">
        <v>89.69</v>
      </c>
      <c r="AP309" s="19">
        <v>15.869821999999999</v>
      </c>
    </row>
    <row r="310" spans="2:42">
      <c r="B310" t="s">
        <v>134</v>
      </c>
      <c r="C310" t="s">
        <v>135</v>
      </c>
      <c r="D310" t="s">
        <v>136</v>
      </c>
      <c r="E310" t="s">
        <v>35</v>
      </c>
      <c r="F310" t="s">
        <v>36</v>
      </c>
      <c r="G310" t="s">
        <v>37</v>
      </c>
      <c r="H310" t="s">
        <v>38</v>
      </c>
      <c r="I310" t="s">
        <v>39</v>
      </c>
      <c r="J310" t="s">
        <v>40</v>
      </c>
      <c r="K310">
        <v>2014</v>
      </c>
      <c r="L310">
        <v>0.83185441735804799</v>
      </c>
      <c r="M310" s="7">
        <v>87.159606499999995</v>
      </c>
      <c r="N310" s="7">
        <f t="shared" si="36"/>
        <v>1.313981188212635E-3</v>
      </c>
      <c r="O310" s="8">
        <v>2.7282406840000002</v>
      </c>
      <c r="P310" s="8">
        <f t="shared" si="37"/>
        <v>4.1129797157727793E-5</v>
      </c>
      <c r="Q310" s="8">
        <v>0.17142042099999999</v>
      </c>
      <c r="R310" s="8">
        <f t="shared" si="38"/>
        <v>2.5842614201050818E-6</v>
      </c>
      <c r="S310" s="8">
        <v>4.6707473850000003</v>
      </c>
      <c r="T310" s="8">
        <f t="shared" si="39"/>
        <v>7.0414202693576394E-5</v>
      </c>
      <c r="U310" s="8">
        <v>2.9695663000000001E-2</v>
      </c>
      <c r="V310" s="8">
        <f t="shared" si="40"/>
        <v>4.476791959071314E-7</v>
      </c>
      <c r="W310" s="8">
        <v>1.7475734E-2</v>
      </c>
      <c r="X310" s="8">
        <f t="shared" si="41"/>
        <v>6.7490213115651181E-12</v>
      </c>
      <c r="Y310" s="8">
        <v>0.110674824</v>
      </c>
      <c r="Z310" s="8">
        <f t="shared" si="42"/>
        <v>1.6684866142063672E-6</v>
      </c>
      <c r="AA310" s="8">
        <v>2.7434406000000001E-2</v>
      </c>
      <c r="AB310" s="8">
        <f t="shared" si="43"/>
        <v>4.1358944631981385E-7</v>
      </c>
      <c r="AC310" s="8">
        <v>0.595561644</v>
      </c>
      <c r="AD310" s="18">
        <f t="shared" si="44"/>
        <v>8.9784342548287017E-6</v>
      </c>
      <c r="AE310" s="9">
        <v>99</v>
      </c>
      <c r="AF310" s="10">
        <v>97.1</v>
      </c>
      <c r="AG310" s="10">
        <v>89.5</v>
      </c>
      <c r="AH310" s="10">
        <v>92.8</v>
      </c>
      <c r="AI310" s="10">
        <v>99</v>
      </c>
      <c r="AJ310" s="10">
        <v>100</v>
      </c>
      <c r="AK310" s="11">
        <v>66332.461439999999</v>
      </c>
      <c r="AL310" s="11">
        <v>2.70265237</v>
      </c>
      <c r="AM310" s="11">
        <v>23121.40079</v>
      </c>
      <c r="AN310" s="11">
        <v>55.8</v>
      </c>
      <c r="AO310" s="11">
        <v>80.691999999999993</v>
      </c>
      <c r="AP310" s="19">
        <v>0.64620378999999994</v>
      </c>
    </row>
    <row r="311" spans="2:42">
      <c r="B311" t="s">
        <v>137</v>
      </c>
      <c r="C311" t="s">
        <v>138</v>
      </c>
      <c r="D311" t="s">
        <v>139</v>
      </c>
      <c r="E311" t="s">
        <v>35</v>
      </c>
      <c r="F311" t="s">
        <v>36</v>
      </c>
      <c r="G311" t="s">
        <v>37</v>
      </c>
      <c r="H311" t="s">
        <v>38</v>
      </c>
      <c r="I311" t="s">
        <v>39</v>
      </c>
      <c r="J311" t="s">
        <v>40</v>
      </c>
      <c r="K311">
        <v>2014</v>
      </c>
      <c r="L311">
        <v>0.62150393263568104</v>
      </c>
      <c r="M311" s="7">
        <v>1.0885663350000001</v>
      </c>
      <c r="N311" s="7">
        <f t="shared" si="36"/>
        <v>4.2756381955291541E-5</v>
      </c>
      <c r="O311" s="8">
        <v>18.974723569999998</v>
      </c>
      <c r="P311" s="8">
        <f t="shared" si="37"/>
        <v>7.4528350029765792E-4</v>
      </c>
      <c r="Q311" s="8">
        <v>3.741061083</v>
      </c>
      <c r="R311" s="8">
        <f t="shared" si="38"/>
        <v>1.4694027496525933E-4</v>
      </c>
      <c r="S311" s="8">
        <v>20.9712104</v>
      </c>
      <c r="T311" s="8">
        <f t="shared" si="39"/>
        <v>8.2370091109530978E-4</v>
      </c>
      <c r="U311" s="8">
        <v>0.108075528</v>
      </c>
      <c r="V311" s="8">
        <f t="shared" si="40"/>
        <v>4.2449581680181255E-6</v>
      </c>
      <c r="W311" s="8">
        <v>0.12112896200000001</v>
      </c>
      <c r="X311" s="8">
        <f t="shared" si="41"/>
        <v>1.6673219351029958E-10</v>
      </c>
      <c r="Y311" s="8">
        <v>2.4905725E-2</v>
      </c>
      <c r="Z311" s="8">
        <f t="shared" si="42"/>
        <v>9.7823959526862757E-7</v>
      </c>
      <c r="AA311" s="8">
        <v>0.193198178</v>
      </c>
      <c r="AB311" s="8">
        <f t="shared" si="43"/>
        <v>7.58838007941372E-6</v>
      </c>
      <c r="AC311" s="8">
        <v>8.6299511310000003</v>
      </c>
      <c r="AD311" s="18">
        <f t="shared" si="44"/>
        <v>3.3896463168919897E-4</v>
      </c>
      <c r="AE311" s="9">
        <v>72.599999999999994</v>
      </c>
      <c r="AF311" s="10">
        <v>74.5</v>
      </c>
      <c r="AG311" s="10">
        <v>76.2</v>
      </c>
      <c r="AH311" s="10">
        <v>81.3</v>
      </c>
      <c r="AI311" s="10">
        <v>78.400000000000006</v>
      </c>
      <c r="AJ311" s="10">
        <v>82.3</v>
      </c>
      <c r="AK311" s="11">
        <v>25459.739229999999</v>
      </c>
      <c r="AL311" s="11">
        <v>47.108004800000003</v>
      </c>
      <c r="AM311" s="11">
        <v>3971.7997610000002</v>
      </c>
      <c r="AN311" s="11">
        <v>11.6</v>
      </c>
      <c r="AO311" s="11">
        <v>60.402999999999999</v>
      </c>
      <c r="AP311" s="19">
        <v>3.85089177</v>
      </c>
    </row>
    <row r="312" spans="2:42">
      <c r="B312" t="s">
        <v>140</v>
      </c>
      <c r="C312" t="s">
        <v>141</v>
      </c>
      <c r="D312" t="s">
        <v>142</v>
      </c>
      <c r="E312" t="s">
        <v>35</v>
      </c>
      <c r="F312" t="s">
        <v>36</v>
      </c>
      <c r="G312" t="s">
        <v>37</v>
      </c>
      <c r="H312" t="s">
        <v>38</v>
      </c>
      <c r="I312" t="s">
        <v>39</v>
      </c>
      <c r="J312" t="s">
        <v>40</v>
      </c>
      <c r="K312">
        <v>2014</v>
      </c>
      <c r="L312">
        <v>0.59545447453593903</v>
      </c>
      <c r="M312" s="7">
        <v>62.370750200000003</v>
      </c>
      <c r="N312" s="7">
        <f t="shared" si="36"/>
        <v>2.1683218866238555E-3</v>
      </c>
      <c r="O312" s="8">
        <v>4.8069514010000001</v>
      </c>
      <c r="P312" s="8">
        <f t="shared" si="37"/>
        <v>1.671138778562504E-4</v>
      </c>
      <c r="Q312" s="8">
        <v>0.28807673900000003</v>
      </c>
      <c r="R312" s="8">
        <f t="shared" si="38"/>
        <v>1.0015000560325601E-5</v>
      </c>
      <c r="S312" s="8">
        <v>0.46568556300000002</v>
      </c>
      <c r="T312" s="8">
        <f t="shared" si="39"/>
        <v>1.618957917452871E-5</v>
      </c>
      <c r="U312" s="8">
        <v>4.3949858000000001E-2</v>
      </c>
      <c r="V312" s="8">
        <f t="shared" si="40"/>
        <v>1.5279187553432787E-6</v>
      </c>
      <c r="W312" s="8">
        <v>3.6446315999999999E-2</v>
      </c>
      <c r="X312" s="8">
        <f t="shared" si="41"/>
        <v>5.3118163042295928E-11</v>
      </c>
      <c r="Y312" s="8">
        <v>3.1036660000000002E-3</v>
      </c>
      <c r="Z312" s="8">
        <f t="shared" si="42"/>
        <v>1.078990856289286E-7</v>
      </c>
      <c r="AA312" s="8">
        <v>2.5929474000000001E-2</v>
      </c>
      <c r="AB312" s="8">
        <f t="shared" si="43"/>
        <v>9.014393093326014E-7</v>
      </c>
      <c r="AC312" s="8">
        <v>3.1660663790000001</v>
      </c>
      <c r="AD312" s="18">
        <f t="shared" si="44"/>
        <v>1.1006843756209363E-4</v>
      </c>
      <c r="AE312" s="9">
        <v>79.3</v>
      </c>
      <c r="AF312" s="10">
        <v>79.3</v>
      </c>
      <c r="AG312" s="10">
        <v>74.3</v>
      </c>
      <c r="AH312" s="10">
        <v>74</v>
      </c>
      <c r="AI312" s="10">
        <v>84.1</v>
      </c>
      <c r="AJ312" s="10">
        <v>82.8</v>
      </c>
      <c r="AK312" s="11">
        <v>28764.5255</v>
      </c>
      <c r="AL312" s="11">
        <v>39.996244799999999</v>
      </c>
      <c r="AM312" s="11">
        <v>4662.6008000000002</v>
      </c>
      <c r="AN312" s="11">
        <v>30.5</v>
      </c>
      <c r="AO312" s="11">
        <v>62.936</v>
      </c>
      <c r="AP312" s="19">
        <v>5.4385103199999998</v>
      </c>
    </row>
    <row r="313" spans="2:42">
      <c r="B313" t="s">
        <v>143</v>
      </c>
      <c r="C313" t="s">
        <v>144</v>
      </c>
      <c r="D313" t="s">
        <v>145</v>
      </c>
      <c r="E313" t="s">
        <v>35</v>
      </c>
      <c r="F313" t="s">
        <v>36</v>
      </c>
      <c r="G313" t="s">
        <v>37</v>
      </c>
      <c r="H313" t="s">
        <v>38</v>
      </c>
      <c r="I313" t="s">
        <v>39</v>
      </c>
      <c r="J313" t="s">
        <v>40</v>
      </c>
      <c r="K313">
        <v>2014</v>
      </c>
      <c r="L313">
        <v>0.79412707616007605</v>
      </c>
      <c r="M313" s="7">
        <v>11.34812771</v>
      </c>
      <c r="N313" s="7">
        <f t="shared" si="36"/>
        <v>5.4999867152194873E-4</v>
      </c>
      <c r="O313" s="8">
        <v>9.5090070660000006</v>
      </c>
      <c r="P313" s="8">
        <f t="shared" si="37"/>
        <v>4.6086379951330522E-4</v>
      </c>
      <c r="Q313" s="8">
        <v>1.1669507079999999</v>
      </c>
      <c r="R313" s="8">
        <f t="shared" si="38"/>
        <v>5.6557465295885128E-5</v>
      </c>
      <c r="S313" s="8">
        <v>3.5644105490000002</v>
      </c>
      <c r="T313" s="8">
        <f t="shared" si="39"/>
        <v>1.727528202719548E-4</v>
      </c>
      <c r="U313" s="8">
        <v>2.0669851E-2</v>
      </c>
      <c r="V313" s="8">
        <f t="shared" si="40"/>
        <v>1.0017855703667105E-6</v>
      </c>
      <c r="W313" s="8">
        <v>1.713332E-2</v>
      </c>
      <c r="X313" s="8">
        <f t="shared" si="41"/>
        <v>4.8552567166302043E-11</v>
      </c>
      <c r="Y313" s="8">
        <v>4.3755359000000001E-2</v>
      </c>
      <c r="Z313" s="8">
        <f t="shared" si="42"/>
        <v>2.1206484397209823E-6</v>
      </c>
      <c r="AA313" s="8">
        <v>2.4769033999999999E-2</v>
      </c>
      <c r="AB313" s="8">
        <f t="shared" si="43"/>
        <v>1.2004566870425165E-6</v>
      </c>
      <c r="AC313" s="8">
        <v>7.3705967939999999</v>
      </c>
      <c r="AD313" s="18">
        <f t="shared" si="44"/>
        <v>3.5722354811461087E-4</v>
      </c>
      <c r="AE313" s="9">
        <v>51.9</v>
      </c>
      <c r="AF313" s="10">
        <v>62</v>
      </c>
      <c r="AG313" s="10">
        <v>48.6</v>
      </c>
      <c r="AH313" s="10">
        <v>70.7</v>
      </c>
      <c r="AI313" s="10">
        <v>64.900000000000006</v>
      </c>
      <c r="AJ313" s="10">
        <v>60.6</v>
      </c>
      <c r="AK313" s="11">
        <v>20633.009310000001</v>
      </c>
      <c r="AL313" s="11">
        <v>60.109527100000001</v>
      </c>
      <c r="AM313" s="11">
        <v>2584.411787</v>
      </c>
      <c r="AN313" s="11">
        <v>24.3</v>
      </c>
      <c r="AO313" s="11">
        <v>53.9</v>
      </c>
      <c r="AP313" s="19">
        <v>1.93728827</v>
      </c>
    </row>
    <row r="314" spans="2:42">
      <c r="B314" t="s">
        <v>146</v>
      </c>
      <c r="C314" t="s">
        <v>147</v>
      </c>
      <c r="D314" t="s">
        <v>148</v>
      </c>
      <c r="E314" t="s">
        <v>35</v>
      </c>
      <c r="F314" t="s">
        <v>36</v>
      </c>
      <c r="G314" t="s">
        <v>37</v>
      </c>
      <c r="H314" t="s">
        <v>38</v>
      </c>
      <c r="I314" t="s">
        <v>39</v>
      </c>
      <c r="J314" t="s">
        <v>40</v>
      </c>
      <c r="K314">
        <v>2014</v>
      </c>
      <c r="L314">
        <v>0.80354908743008502</v>
      </c>
      <c r="M314" s="7">
        <v>1.00798466</v>
      </c>
      <c r="N314" s="7">
        <f t="shared" si="36"/>
        <v>3.4629042204058462E-5</v>
      </c>
      <c r="O314" s="8">
        <v>1.703610029</v>
      </c>
      <c r="P314" s="8">
        <f t="shared" si="37"/>
        <v>5.8527064879636423E-5</v>
      </c>
      <c r="Q314" s="8">
        <v>3.3916680999999997E-2</v>
      </c>
      <c r="R314" s="8">
        <f t="shared" si="38"/>
        <v>1.1651984642014173E-6</v>
      </c>
      <c r="S314" s="8">
        <v>0.71528623700000005</v>
      </c>
      <c r="T314" s="8">
        <f t="shared" si="39"/>
        <v>2.4573466513920129E-5</v>
      </c>
      <c r="U314" s="8">
        <v>2.2108650000000001E-2</v>
      </c>
      <c r="V314" s="8">
        <f t="shared" si="40"/>
        <v>7.5953673136727808E-7</v>
      </c>
      <c r="W314" s="8">
        <v>1.7944229999999999E-2</v>
      </c>
      <c r="X314" s="8">
        <f t="shared" si="41"/>
        <v>2.6093680360225013E-11</v>
      </c>
      <c r="Y314" s="8">
        <v>1.3048964E-2</v>
      </c>
      <c r="Z314" s="8">
        <f t="shared" si="42"/>
        <v>4.4829365267844407E-7</v>
      </c>
      <c r="AA314" s="8">
        <v>6.953903E-3</v>
      </c>
      <c r="AB314" s="8">
        <f t="shared" si="43"/>
        <v>2.3889946943233121E-7</v>
      </c>
      <c r="AC314" s="8">
        <v>3.3050752370000001</v>
      </c>
      <c r="AD314" s="18">
        <f t="shared" si="44"/>
        <v>1.1354497187453381E-4</v>
      </c>
      <c r="AE314" s="9">
        <v>60.1</v>
      </c>
      <c r="AF314" s="10">
        <v>75</v>
      </c>
      <c r="AG314" s="10">
        <v>85.7</v>
      </c>
      <c r="AH314" s="10">
        <v>78.8</v>
      </c>
      <c r="AI314" s="10">
        <v>69.2</v>
      </c>
      <c r="AJ314" s="10">
        <v>75.900000000000006</v>
      </c>
      <c r="AK314" s="11">
        <v>29108.072179999999</v>
      </c>
      <c r="AL314" s="11">
        <v>39.297004999999999</v>
      </c>
      <c r="AM314" s="11">
        <v>5137.0738350000001</v>
      </c>
      <c r="AN314" s="11">
        <v>12.2</v>
      </c>
      <c r="AO314" s="11">
        <v>54</v>
      </c>
      <c r="AP314" s="19">
        <v>-0.35680299999999998</v>
      </c>
    </row>
    <row r="315" spans="2:42">
      <c r="B315" t="s">
        <v>149</v>
      </c>
      <c r="C315" t="s">
        <v>150</v>
      </c>
      <c r="D315" t="s">
        <v>151</v>
      </c>
      <c r="E315" t="s">
        <v>35</v>
      </c>
      <c r="F315" t="s">
        <v>36</v>
      </c>
      <c r="G315" t="s">
        <v>37</v>
      </c>
      <c r="H315" t="s">
        <v>38</v>
      </c>
      <c r="I315" t="s">
        <v>39</v>
      </c>
      <c r="J315" t="s">
        <v>40</v>
      </c>
      <c r="K315">
        <v>2014</v>
      </c>
      <c r="L315">
        <v>0.98159391831387899</v>
      </c>
      <c r="M315" s="7">
        <v>57.833501529999999</v>
      </c>
      <c r="N315" s="7">
        <f t="shared" si="36"/>
        <v>1.8917162192656882E-3</v>
      </c>
      <c r="O315" s="8">
        <v>1.544281217</v>
      </c>
      <c r="P315" s="8">
        <f t="shared" si="37"/>
        <v>5.0512968228127543E-5</v>
      </c>
      <c r="Q315" s="8">
        <v>0.16309359900000001</v>
      </c>
      <c r="R315" s="8">
        <f t="shared" si="38"/>
        <v>5.3347419458369125E-6</v>
      </c>
      <c r="S315" s="8">
        <v>0.95505575399999998</v>
      </c>
      <c r="T315" s="8">
        <f t="shared" si="39"/>
        <v>3.1239582808376799E-5</v>
      </c>
      <c r="U315" s="8">
        <v>5.2618789999999997E-3</v>
      </c>
      <c r="V315" s="8">
        <f t="shared" si="40"/>
        <v>1.7211445934931133E-7</v>
      </c>
      <c r="W315" s="8">
        <v>3.370006E-3</v>
      </c>
      <c r="X315" s="8">
        <f t="shared" si="41"/>
        <v>5.6298115401562336E-12</v>
      </c>
      <c r="Y315" s="8">
        <v>6.4400000000000004E-3</v>
      </c>
      <c r="Z315" s="8">
        <f t="shared" si="42"/>
        <v>2.1065043840984658E-7</v>
      </c>
      <c r="AA315" s="8">
        <v>7.4836060000000003E-3</v>
      </c>
      <c r="AB315" s="8">
        <f t="shared" si="43"/>
        <v>2.4478647279294383E-7</v>
      </c>
      <c r="AC315" s="8">
        <v>0.55363520099999997</v>
      </c>
      <c r="AD315" s="18">
        <f t="shared" si="44"/>
        <v>1.8109238790337502E-5</v>
      </c>
      <c r="AE315" s="9">
        <v>74.5</v>
      </c>
      <c r="AF315" s="10">
        <v>79.8</v>
      </c>
      <c r="AG315" s="10">
        <v>79.5</v>
      </c>
      <c r="AH315" s="10">
        <v>72.099999999999994</v>
      </c>
      <c r="AI315" s="10">
        <v>80.8</v>
      </c>
      <c r="AJ315" s="10">
        <v>75.400000000000006</v>
      </c>
      <c r="AK315" s="11">
        <v>30571.975299999998</v>
      </c>
      <c r="AL315" s="11">
        <v>30.528301899999999</v>
      </c>
      <c r="AM315" s="11">
        <v>6727.9993020000002</v>
      </c>
      <c r="AN315" s="11">
        <v>22.9</v>
      </c>
      <c r="AO315" s="11">
        <v>53.557000000000002</v>
      </c>
      <c r="AP315" s="19">
        <v>2.0587531000000001</v>
      </c>
    </row>
    <row r="316" spans="2:42">
      <c r="B316" t="s">
        <v>152</v>
      </c>
      <c r="C316" t="s">
        <v>153</v>
      </c>
      <c r="D316" t="s">
        <v>154</v>
      </c>
      <c r="E316" t="s">
        <v>35</v>
      </c>
      <c r="F316" t="s">
        <v>36</v>
      </c>
      <c r="G316" t="s">
        <v>37</v>
      </c>
      <c r="H316" t="s">
        <v>38</v>
      </c>
      <c r="I316" t="s">
        <v>39</v>
      </c>
      <c r="J316" t="s">
        <v>40</v>
      </c>
      <c r="K316">
        <v>2014</v>
      </c>
      <c r="L316">
        <v>0.88048535204881395</v>
      </c>
      <c r="M316" s="7">
        <v>1.00798466</v>
      </c>
      <c r="N316" s="7">
        <f t="shared" si="36"/>
        <v>2.9856520447373257E-5</v>
      </c>
      <c r="O316" s="8">
        <v>25.93832153</v>
      </c>
      <c r="P316" s="8">
        <f t="shared" si="37"/>
        <v>7.6829346503248081E-4</v>
      </c>
      <c r="Q316" s="8">
        <v>1.047433085</v>
      </c>
      <c r="R316" s="8">
        <f t="shared" si="38"/>
        <v>3.1024983375796367E-5</v>
      </c>
      <c r="S316" s="8">
        <v>1.389040923</v>
      </c>
      <c r="T316" s="8">
        <f t="shared" si="39"/>
        <v>4.1143412559262288E-5</v>
      </c>
      <c r="U316" s="8">
        <v>7.0457820000000004E-2</v>
      </c>
      <c r="V316" s="8">
        <f t="shared" si="40"/>
        <v>2.0869616641857869E-6</v>
      </c>
      <c r="W316" s="8">
        <v>0.105674041</v>
      </c>
      <c r="X316" s="8">
        <f t="shared" si="41"/>
        <v>6.181583517317324E-11</v>
      </c>
      <c r="Y316" s="8">
        <v>4.0487725000000002E-2</v>
      </c>
      <c r="Z316" s="8">
        <f t="shared" si="42"/>
        <v>1.1992470097016413E-6</v>
      </c>
      <c r="AA316" s="8">
        <v>0.14852522300000001</v>
      </c>
      <c r="AB316" s="8">
        <f t="shared" si="43"/>
        <v>4.3993192886984744E-6</v>
      </c>
      <c r="AC316" s="8">
        <v>15.25477836</v>
      </c>
      <c r="AD316" s="18">
        <f t="shared" si="44"/>
        <v>4.5184675928053021E-4</v>
      </c>
      <c r="AE316" s="9">
        <v>73.099999999999994</v>
      </c>
      <c r="AF316" s="10">
        <v>85.1</v>
      </c>
      <c r="AG316" s="10">
        <v>55.2</v>
      </c>
      <c r="AH316" s="10">
        <v>74.5</v>
      </c>
      <c r="AI316" s="10">
        <v>80.3</v>
      </c>
      <c r="AJ316" s="10">
        <v>76.8</v>
      </c>
      <c r="AK316" s="11">
        <v>33760.955560000002</v>
      </c>
      <c r="AL316" s="11">
        <v>53.133683900000001</v>
      </c>
      <c r="AM316" s="11">
        <v>5358.2882559999998</v>
      </c>
      <c r="AN316" s="11">
        <v>17.3</v>
      </c>
      <c r="AO316" s="11">
        <v>79.366</v>
      </c>
      <c r="AP316" s="19">
        <v>2.3164223000000002</v>
      </c>
    </row>
    <row r="317" spans="2:42">
      <c r="B317" t="s">
        <v>155</v>
      </c>
      <c r="C317" t="s">
        <v>156</v>
      </c>
      <c r="D317" t="s">
        <v>157</v>
      </c>
      <c r="E317" t="s">
        <v>35</v>
      </c>
      <c r="F317" t="s">
        <v>36</v>
      </c>
      <c r="G317" t="s">
        <v>37</v>
      </c>
      <c r="H317" t="s">
        <v>38</v>
      </c>
      <c r="I317" t="s">
        <v>39</v>
      </c>
      <c r="J317" t="s">
        <v>40</v>
      </c>
      <c r="K317">
        <v>2014</v>
      </c>
      <c r="L317">
        <v>0.44260443355799201</v>
      </c>
      <c r="M317" s="7">
        <v>57.344400159999999</v>
      </c>
      <c r="N317" s="7">
        <f t="shared" si="36"/>
        <v>1.2242246762111592E-3</v>
      </c>
      <c r="O317" s="8">
        <v>4.1163186820000002</v>
      </c>
      <c r="P317" s="8">
        <f t="shared" si="37"/>
        <v>8.7877785652878921E-5</v>
      </c>
      <c r="Q317" s="8">
        <v>0.37700077100000001</v>
      </c>
      <c r="R317" s="8">
        <f t="shared" si="38"/>
        <v>8.0484519067438151E-6</v>
      </c>
      <c r="S317" s="8">
        <v>0.152634202</v>
      </c>
      <c r="T317" s="8">
        <f t="shared" si="39"/>
        <v>3.2585318880454508E-6</v>
      </c>
      <c r="U317" s="8">
        <v>0.16728217000000001</v>
      </c>
      <c r="V317" s="8">
        <f t="shared" si="40"/>
        <v>3.5712460123874471E-6</v>
      </c>
      <c r="W317" s="8">
        <v>0.184378558</v>
      </c>
      <c r="X317" s="8">
        <f t="shared" si="41"/>
        <v>7.6241228105740383E-11</v>
      </c>
      <c r="Y317" s="8">
        <v>1.1728822E-2</v>
      </c>
      <c r="Z317" s="8">
        <f t="shared" si="42"/>
        <v>2.503943414740624E-7</v>
      </c>
      <c r="AA317" s="8">
        <v>7.8167707000000003E-2</v>
      </c>
      <c r="AB317" s="8">
        <f t="shared" si="43"/>
        <v>1.6687738563005271E-6</v>
      </c>
      <c r="AC317" s="8">
        <v>3.1898400499999999</v>
      </c>
      <c r="AD317" s="18">
        <f t="shared" si="44"/>
        <v>6.8098731375353832E-5</v>
      </c>
      <c r="AE317" s="9">
        <v>97.6</v>
      </c>
      <c r="AF317" s="10">
        <v>94.2</v>
      </c>
      <c r="AG317" s="10">
        <v>88.1</v>
      </c>
      <c r="AH317" s="10">
        <v>96.6</v>
      </c>
      <c r="AI317" s="10">
        <v>97.6</v>
      </c>
      <c r="AJ317" s="10">
        <v>99.5</v>
      </c>
      <c r="AK317" s="11">
        <v>46841.401969999999</v>
      </c>
      <c r="AL317" s="11">
        <v>7.4534105100000003</v>
      </c>
      <c r="AM317" s="11">
        <v>13480.148219999999</v>
      </c>
      <c r="AN317" s="11">
        <v>48.6</v>
      </c>
      <c r="AO317" s="11">
        <v>86.247</v>
      </c>
      <c r="AP317" s="19">
        <v>-1.0454348</v>
      </c>
    </row>
    <row r="318" spans="2:42">
      <c r="B318" t="s">
        <v>158</v>
      </c>
      <c r="C318" t="s">
        <v>159</v>
      </c>
      <c r="D318" t="s">
        <v>160</v>
      </c>
      <c r="E318" t="s">
        <v>35</v>
      </c>
      <c r="F318" t="s">
        <v>36</v>
      </c>
      <c r="G318" t="s">
        <v>37</v>
      </c>
      <c r="H318" t="s">
        <v>38</v>
      </c>
      <c r="I318" t="s">
        <v>39</v>
      </c>
      <c r="J318" t="s">
        <v>40</v>
      </c>
      <c r="K318">
        <v>2014</v>
      </c>
      <c r="L318">
        <v>0.57250827203856303</v>
      </c>
      <c r="M318" s="7">
        <v>57.833501529999999</v>
      </c>
      <c r="N318" s="7">
        <f t="shared" si="36"/>
        <v>9.1195517885178439E-4</v>
      </c>
      <c r="O318" s="8">
        <v>4.2583175259999999</v>
      </c>
      <c r="P318" s="8">
        <f t="shared" si="37"/>
        <v>6.7147840236105762E-5</v>
      </c>
      <c r="Q318" s="8">
        <v>0.24326404400000001</v>
      </c>
      <c r="R318" s="8">
        <f t="shared" si="38"/>
        <v>3.8359410875226037E-6</v>
      </c>
      <c r="S318" s="8">
        <v>0.60334638100000004</v>
      </c>
      <c r="T318" s="8">
        <f t="shared" si="39"/>
        <v>9.5139467996592514E-6</v>
      </c>
      <c r="U318" s="8">
        <v>1.9036013000000001E-2</v>
      </c>
      <c r="V318" s="8">
        <f t="shared" si="40"/>
        <v>3.0017187582935367E-7</v>
      </c>
      <c r="W318" s="8">
        <v>4.2272206999999999E-2</v>
      </c>
      <c r="X318" s="8">
        <f t="shared" si="41"/>
        <v>4.7332997218962239E-12</v>
      </c>
      <c r="Y318" s="8">
        <v>2.90332E-3</v>
      </c>
      <c r="Z318" s="8">
        <f t="shared" si="42"/>
        <v>4.5781383451087103E-8</v>
      </c>
      <c r="AA318" s="8">
        <v>3.0733114999999998E-2</v>
      </c>
      <c r="AB318" s="8">
        <f t="shared" si="43"/>
        <v>4.8461916787035426E-7</v>
      </c>
      <c r="AC318" s="8">
        <v>0.22835419500000001</v>
      </c>
      <c r="AD318" s="18">
        <f t="shared" si="44"/>
        <v>3.6008331716653067E-6</v>
      </c>
      <c r="AE318" s="9">
        <v>98.1</v>
      </c>
      <c r="AF318" s="10">
        <v>99.5</v>
      </c>
      <c r="AG318" s="10">
        <v>98.1</v>
      </c>
      <c r="AH318" s="10">
        <v>96.2</v>
      </c>
      <c r="AI318" s="10">
        <v>98.1</v>
      </c>
      <c r="AJ318" s="10">
        <v>99</v>
      </c>
      <c r="AK318" s="11">
        <v>63417.043810000003</v>
      </c>
      <c r="AL318" s="11">
        <v>38.502806399999997</v>
      </c>
      <c r="AM318" s="11">
        <v>7520.0439050000004</v>
      </c>
      <c r="AN318" s="11">
        <v>22.2</v>
      </c>
      <c r="AO318" s="11">
        <v>73.695999999999998</v>
      </c>
      <c r="AP318" s="19">
        <v>2.8908463200000001</v>
      </c>
    </row>
    <row r="319" spans="2:42">
      <c r="B319" t="s">
        <v>161</v>
      </c>
      <c r="C319" t="s">
        <v>162</v>
      </c>
      <c r="D319" t="s">
        <v>163</v>
      </c>
      <c r="E319" t="s">
        <v>35</v>
      </c>
      <c r="F319" t="s">
        <v>36</v>
      </c>
      <c r="G319" t="s">
        <v>37</v>
      </c>
      <c r="H319" t="s">
        <v>38</v>
      </c>
      <c r="I319" t="s">
        <v>39</v>
      </c>
      <c r="J319" t="s">
        <v>40</v>
      </c>
      <c r="K319">
        <v>2014</v>
      </c>
      <c r="L319">
        <v>0.32462903178143399</v>
      </c>
      <c r="M319" s="7">
        <v>67.48976965</v>
      </c>
      <c r="N319" s="7">
        <f t="shared" si="36"/>
        <v>2.7998217388194406E-3</v>
      </c>
      <c r="O319" s="8">
        <v>38.823349010000001</v>
      </c>
      <c r="P319" s="8">
        <f t="shared" si="37"/>
        <v>1.6105916066342985E-3</v>
      </c>
      <c r="Q319" s="8">
        <v>1.8718264849999999</v>
      </c>
      <c r="R319" s="8">
        <f t="shared" si="38"/>
        <v>7.7652961495935138E-5</v>
      </c>
      <c r="S319" s="8">
        <v>6.9498834220000001</v>
      </c>
      <c r="T319" s="8">
        <f t="shared" si="39"/>
        <v>2.8831680398506808E-4</v>
      </c>
      <c r="U319" s="8">
        <v>5.6136498E-2</v>
      </c>
      <c r="V319" s="8">
        <f t="shared" si="40"/>
        <v>2.3288298101576654E-6</v>
      </c>
      <c r="W319" s="8">
        <v>0.104494904</v>
      </c>
      <c r="X319" s="8">
        <f t="shared" si="41"/>
        <v>9.6611802978500506E-11</v>
      </c>
      <c r="Y319" s="8">
        <v>1.4495755000000001E-2</v>
      </c>
      <c r="Z319" s="8">
        <f t="shared" si="42"/>
        <v>6.0135825296301933E-7</v>
      </c>
      <c r="AA319" s="8">
        <v>0.27301218700000002</v>
      </c>
      <c r="AB319" s="8">
        <f t="shared" si="43"/>
        <v>1.1325945548330056E-5</v>
      </c>
      <c r="AC319" s="8">
        <v>46.083598260000002</v>
      </c>
      <c r="AD319" s="18">
        <f t="shared" si="44"/>
        <v>1.9117839767492785E-3</v>
      </c>
      <c r="AE319" s="9">
        <v>53.8</v>
      </c>
      <c r="AF319" s="10">
        <v>68.3</v>
      </c>
      <c r="AG319" s="10">
        <v>11.9</v>
      </c>
      <c r="AH319" s="10">
        <v>66.3</v>
      </c>
      <c r="AI319" s="10">
        <v>54.8</v>
      </c>
      <c r="AJ319" s="10">
        <v>36.5</v>
      </c>
      <c r="AK319" s="11">
        <v>24105.023799999999</v>
      </c>
      <c r="AL319" s="11">
        <v>50.094201099999999</v>
      </c>
      <c r="AM319" s="11">
        <v>2848.9716579999999</v>
      </c>
      <c r="AN319" s="11">
        <v>11.5</v>
      </c>
      <c r="AO319" s="11">
        <v>73.076999999999998</v>
      </c>
      <c r="AP319" s="19">
        <v>1.4204397099999999</v>
      </c>
    </row>
    <row r="320" spans="2:42">
      <c r="B320" t="s">
        <v>164</v>
      </c>
      <c r="C320" t="s">
        <v>165</v>
      </c>
      <c r="D320" t="s">
        <v>166</v>
      </c>
      <c r="E320" t="s">
        <v>35</v>
      </c>
      <c r="F320" t="s">
        <v>36</v>
      </c>
      <c r="G320" t="s">
        <v>37</v>
      </c>
      <c r="H320" t="s">
        <v>38</v>
      </c>
      <c r="I320" t="s">
        <v>39</v>
      </c>
      <c r="J320" t="s">
        <v>40</v>
      </c>
      <c r="K320">
        <v>2014</v>
      </c>
      <c r="L320">
        <v>0.102382097744308</v>
      </c>
      <c r="M320" s="7">
        <v>40.96062732</v>
      </c>
      <c r="N320" s="7">
        <f t="shared" si="36"/>
        <v>1.9194213422409751E-2</v>
      </c>
      <c r="O320" s="8">
        <v>17.41404541</v>
      </c>
      <c r="P320" s="8">
        <f t="shared" si="37"/>
        <v>8.1602486586886316E-3</v>
      </c>
      <c r="Q320" s="8">
        <v>3.0931478389999998</v>
      </c>
      <c r="R320" s="8">
        <f t="shared" si="38"/>
        <v>1.4494538695661635E-3</v>
      </c>
      <c r="S320" s="8">
        <v>4.3682100000000004</v>
      </c>
      <c r="T320" s="8">
        <f t="shared" si="39"/>
        <v>2.0469499736632574E-3</v>
      </c>
      <c r="U320" s="8">
        <v>9.0069422999999996E-2</v>
      </c>
      <c r="V320" s="8">
        <f t="shared" si="40"/>
        <v>4.2206671162264351E-5</v>
      </c>
      <c r="W320" s="8">
        <v>2.543226E-3</v>
      </c>
      <c r="X320" s="8">
        <f t="shared" si="41"/>
        <v>1.9778111497389267E-8</v>
      </c>
      <c r="Y320" s="8"/>
      <c r="Z320" s="8">
        <f t="shared" si="42"/>
        <v>0</v>
      </c>
      <c r="AA320" s="8">
        <v>1.5562675E-2</v>
      </c>
      <c r="AB320" s="8">
        <f t="shared" si="43"/>
        <v>7.2926936162363605E-6</v>
      </c>
      <c r="AC320" s="8">
        <v>2.8183272129999999</v>
      </c>
      <c r="AD320" s="18">
        <f t="shared" si="44"/>
        <v>1.3206724984432504E-3</v>
      </c>
      <c r="AE320" s="9">
        <v>13</v>
      </c>
      <c r="AF320" s="10">
        <v>31.3</v>
      </c>
      <c r="AG320" s="10">
        <v>15.2</v>
      </c>
      <c r="AH320" s="10">
        <v>45.2</v>
      </c>
      <c r="AI320" s="10">
        <v>40.9</v>
      </c>
      <c r="AJ320" s="10">
        <v>30</v>
      </c>
      <c r="AK320" s="11">
        <v>2134.0091630000002</v>
      </c>
      <c r="AL320" s="11">
        <v>71.888091000000003</v>
      </c>
      <c r="AM320" s="11">
        <v>64.760683990000004</v>
      </c>
      <c r="AN320" s="11">
        <v>92.4</v>
      </c>
      <c r="AO320" s="11">
        <v>21.504000000000001</v>
      </c>
      <c r="AP320" s="19">
        <v>3.2458961300000002</v>
      </c>
    </row>
    <row r="321" spans="2:42">
      <c r="B321" t="s">
        <v>167</v>
      </c>
      <c r="C321" t="s">
        <v>168</v>
      </c>
      <c r="D321" t="s">
        <v>169</v>
      </c>
      <c r="E321" t="s">
        <v>35</v>
      </c>
      <c r="F321" t="s">
        <v>36</v>
      </c>
      <c r="G321" t="s">
        <v>37</v>
      </c>
      <c r="H321" t="s">
        <v>38</v>
      </c>
      <c r="I321" t="s">
        <v>39</v>
      </c>
      <c r="J321" t="s">
        <v>40</v>
      </c>
      <c r="K321">
        <v>2014</v>
      </c>
      <c r="L321">
        <v>0.21940053500029899</v>
      </c>
      <c r="M321" s="7">
        <v>48930.17684</v>
      </c>
      <c r="N321" s="7">
        <f t="shared" si="36"/>
        <v>4.6627944818998994</v>
      </c>
      <c r="O321" s="8">
        <v>15.771208619999999</v>
      </c>
      <c r="P321" s="8">
        <f t="shared" si="37"/>
        <v>1.5029151594259419E-3</v>
      </c>
      <c r="Q321" s="8">
        <v>0.56520603899999999</v>
      </c>
      <c r="R321" s="8">
        <f t="shared" si="38"/>
        <v>5.3861231861137486E-5</v>
      </c>
      <c r="S321" s="8">
        <v>49.886351169999998</v>
      </c>
      <c r="T321" s="8">
        <f t="shared" si="39"/>
        <v>4.7539129833563173E-3</v>
      </c>
      <c r="U321" s="8">
        <v>7.9764731000000005E-2</v>
      </c>
      <c r="V321" s="8">
        <f t="shared" si="40"/>
        <v>7.6011690857610622E-6</v>
      </c>
      <c r="W321" s="8">
        <v>5.1543178000000002E-2</v>
      </c>
      <c r="X321" s="8">
        <f t="shared" si="41"/>
        <v>7.2435236408344012E-10</v>
      </c>
      <c r="Y321" s="8">
        <v>0.12701953799999999</v>
      </c>
      <c r="Z321" s="8">
        <f t="shared" si="42"/>
        <v>1.2104309428853366E-5</v>
      </c>
      <c r="AA321" s="8">
        <v>0.11824958200000001</v>
      </c>
      <c r="AB321" s="8">
        <f t="shared" si="43"/>
        <v>1.126857767629866E-5</v>
      </c>
      <c r="AC321" s="8">
        <v>8.8118442160000008</v>
      </c>
      <c r="AD321" s="18">
        <f t="shared" si="44"/>
        <v>8.3972348434550132E-4</v>
      </c>
      <c r="AE321" s="9">
        <v>14.4</v>
      </c>
      <c r="AF321" s="10">
        <v>39.9</v>
      </c>
      <c r="AG321" s="10">
        <v>5.7</v>
      </c>
      <c r="AH321" s="10">
        <v>31.3</v>
      </c>
      <c r="AI321" s="10">
        <v>20.7</v>
      </c>
      <c r="AJ321" s="10">
        <v>43.3</v>
      </c>
      <c r="AK321" s="11">
        <v>10493.74512</v>
      </c>
      <c r="AL321" s="11">
        <v>71.658409399999996</v>
      </c>
      <c r="AM321" s="11">
        <v>3366.5648809999998</v>
      </c>
      <c r="AN321" s="11">
        <v>3.5</v>
      </c>
      <c r="AO321" s="11">
        <v>68.968000000000004</v>
      </c>
      <c r="AP321" s="19">
        <v>0.63443852999999995</v>
      </c>
    </row>
    <row r="322" spans="2:42">
      <c r="B322" t="s">
        <v>170</v>
      </c>
      <c r="C322" t="s">
        <v>171</v>
      </c>
      <c r="D322" t="s">
        <v>172</v>
      </c>
      <c r="E322" t="s">
        <v>35</v>
      </c>
      <c r="F322" t="s">
        <v>36</v>
      </c>
      <c r="G322" t="s">
        <v>37</v>
      </c>
      <c r="H322" t="s">
        <v>38</v>
      </c>
      <c r="I322" t="s">
        <v>39</v>
      </c>
      <c r="J322" t="s">
        <v>40</v>
      </c>
      <c r="K322">
        <v>2014</v>
      </c>
      <c r="L322">
        <v>0.79742580864552204</v>
      </c>
      <c r="M322" s="7">
        <v>366.08579500000002</v>
      </c>
      <c r="N322" s="7">
        <f t="shared" si="36"/>
        <v>8.8711899039388507E-3</v>
      </c>
      <c r="O322" s="8">
        <v>32.388755750000001</v>
      </c>
      <c r="P322" s="8">
        <f t="shared" si="37"/>
        <v>7.848619283644736E-4</v>
      </c>
      <c r="Q322" s="8">
        <v>0.74539761199999999</v>
      </c>
      <c r="R322" s="8">
        <f t="shared" si="38"/>
        <v>1.8062879959585779E-5</v>
      </c>
      <c r="S322" s="8">
        <v>5.5033792940000001</v>
      </c>
      <c r="T322" s="8">
        <f t="shared" si="39"/>
        <v>1.3336087741530346E-4</v>
      </c>
      <c r="U322" s="8">
        <v>6.8570061000000002E-2</v>
      </c>
      <c r="V322" s="8">
        <f t="shared" si="40"/>
        <v>1.661626976964979E-6</v>
      </c>
      <c r="W322" s="8">
        <v>0.237978569</v>
      </c>
      <c r="X322" s="8">
        <f t="shared" si="41"/>
        <v>4.0265447781616747E-11</v>
      </c>
      <c r="Y322" s="8">
        <v>7.0052717E-2</v>
      </c>
      <c r="Z322" s="8">
        <f t="shared" si="42"/>
        <v>1.6975555027855845E-6</v>
      </c>
      <c r="AA322" s="8">
        <v>0.15141890299999999</v>
      </c>
      <c r="AB322" s="8">
        <f t="shared" si="43"/>
        <v>3.6692651337621444E-6</v>
      </c>
      <c r="AC322" s="8">
        <v>9.3678221199999996</v>
      </c>
      <c r="AD322" s="18">
        <f t="shared" si="44"/>
        <v>2.2700615579153796E-4</v>
      </c>
      <c r="AE322" s="9">
        <v>93.3</v>
      </c>
      <c r="AF322" s="10">
        <v>92.8</v>
      </c>
      <c r="AG322" s="10">
        <v>59.5</v>
      </c>
      <c r="AH322" s="10">
        <v>97.1</v>
      </c>
      <c r="AI322" s="10">
        <v>94.7</v>
      </c>
      <c r="AJ322" s="10">
        <v>90.1</v>
      </c>
      <c r="AK322" s="11">
        <v>41266.819779999998</v>
      </c>
      <c r="AL322" s="11">
        <v>71.227214500000002</v>
      </c>
      <c r="AM322" s="11">
        <v>5118.9260290000002</v>
      </c>
      <c r="AN322" s="11">
        <v>6.6</v>
      </c>
      <c r="AO322" s="11">
        <v>82.364999999999995</v>
      </c>
      <c r="AP322" s="19">
        <v>1.9215677499999999</v>
      </c>
    </row>
    <row r="323" spans="2:42">
      <c r="B323" t="s">
        <v>173</v>
      </c>
      <c r="C323" t="s">
        <v>174</v>
      </c>
      <c r="D323" t="s">
        <v>175</v>
      </c>
      <c r="E323" t="s">
        <v>35</v>
      </c>
      <c r="F323" t="s">
        <v>36</v>
      </c>
      <c r="G323" t="s">
        <v>37</v>
      </c>
      <c r="H323" t="s">
        <v>38</v>
      </c>
      <c r="I323" t="s">
        <v>39</v>
      </c>
      <c r="J323" t="s">
        <v>40</v>
      </c>
      <c r="K323">
        <v>2014</v>
      </c>
      <c r="L323">
        <v>3.2089412676337302E-3</v>
      </c>
      <c r="M323" s="7">
        <v>23.503291130000001</v>
      </c>
      <c r="N323" s="7">
        <f t="shared" ref="N323:N386" si="45">M323/AK323</f>
        <v>6.8297413325760043E-3</v>
      </c>
      <c r="O323" s="8">
        <v>5.2667730810000002</v>
      </c>
      <c r="P323" s="8">
        <f t="shared" ref="P323:P386" si="46">O323/AK323</f>
        <v>1.5304536544114352E-3</v>
      </c>
      <c r="Q323" s="8">
        <v>1.590356476</v>
      </c>
      <c r="R323" s="8">
        <f t="shared" ref="R323:R386" si="47">Q323/AK323</f>
        <v>4.6213627264323973E-4</v>
      </c>
      <c r="S323" s="8">
        <v>3.5023071809999999</v>
      </c>
      <c r="T323" s="8">
        <f t="shared" ref="T323:T386" si="48">S323/AK323</f>
        <v>1.0177235171512529E-3</v>
      </c>
      <c r="U323" s="8">
        <v>5.9844900999999999E-2</v>
      </c>
      <c r="V323" s="8">
        <f t="shared" ref="V323:V386" si="49">U323/AK323</f>
        <v>1.7390125988862695E-5</v>
      </c>
      <c r="W323" s="8">
        <v>2.9011299999999999E-4</v>
      </c>
      <c r="X323" s="8">
        <f t="shared" ref="X323:X386" si="50">V323/AK323</f>
        <v>5.0533374916689676E-9</v>
      </c>
      <c r="Y323" s="8"/>
      <c r="Z323" s="8">
        <f t="shared" ref="Z323:Z386" si="51">Y323/AK323</f>
        <v>0</v>
      </c>
      <c r="AA323" s="8">
        <v>1.2244735E-2</v>
      </c>
      <c r="AB323" s="8">
        <f t="shared" ref="AB323:AB386" si="52">AA323/AK323</f>
        <v>3.5581558460634205E-6</v>
      </c>
      <c r="AC323" s="8">
        <v>0.714335681</v>
      </c>
      <c r="AD323" s="18">
        <f t="shared" ref="AD323:AD386" si="53">AC323/AK323</f>
        <v>2.0757637298004773E-4</v>
      </c>
      <c r="AE323" s="9">
        <v>44.7</v>
      </c>
      <c r="AF323" s="10">
        <v>31.7</v>
      </c>
      <c r="AG323" s="10">
        <v>52.4</v>
      </c>
      <c r="AH323" s="10">
        <v>32.200000000000003</v>
      </c>
      <c r="AI323" s="10">
        <v>47.6</v>
      </c>
      <c r="AJ323" s="10">
        <v>44.3</v>
      </c>
      <c r="AK323" s="11">
        <v>3441.3149760000001</v>
      </c>
      <c r="AL323" s="11">
        <v>31.932094899999999</v>
      </c>
      <c r="AM323" s="11">
        <v>695.17338910000001</v>
      </c>
      <c r="AN323" s="11">
        <v>84.6</v>
      </c>
      <c r="AO323" s="11">
        <v>41.381999999999998</v>
      </c>
      <c r="AP323" s="19">
        <v>5.5554279199999996</v>
      </c>
    </row>
    <row r="324" spans="2:42">
      <c r="B324" t="s">
        <v>32</v>
      </c>
      <c r="C324" t="s">
        <v>33</v>
      </c>
      <c r="D324" t="s">
        <v>34</v>
      </c>
      <c r="E324" t="s">
        <v>35</v>
      </c>
      <c r="F324" t="s">
        <v>36</v>
      </c>
      <c r="G324" t="s">
        <v>37</v>
      </c>
      <c r="H324" t="s">
        <v>38</v>
      </c>
      <c r="I324" t="s">
        <v>39</v>
      </c>
      <c r="J324" t="s">
        <v>40</v>
      </c>
      <c r="K324">
        <v>2015</v>
      </c>
      <c r="L324">
        <v>0.74753943075189699</v>
      </c>
      <c r="M324" s="7">
        <v>602.05835579999996</v>
      </c>
      <c r="N324" s="7">
        <f t="shared" si="45"/>
        <v>1.3013614287284576E-2</v>
      </c>
      <c r="O324" s="8">
        <v>79.951087770000001</v>
      </c>
      <c r="P324" s="8">
        <f t="shared" si="46"/>
        <v>1.7281590863481796E-3</v>
      </c>
      <c r="Q324" s="8">
        <v>0.47129278400000002</v>
      </c>
      <c r="R324" s="8">
        <f t="shared" si="47"/>
        <v>1.0187089753462276E-5</v>
      </c>
      <c r="S324" s="8">
        <v>55.307772300000003</v>
      </c>
      <c r="T324" s="8">
        <f t="shared" si="48"/>
        <v>1.1954887908577753E-3</v>
      </c>
      <c r="U324" s="8">
        <v>0.164763881</v>
      </c>
      <c r="V324" s="8">
        <f t="shared" si="49"/>
        <v>3.5614049288642993E-6</v>
      </c>
      <c r="W324" s="8">
        <v>0.110196012</v>
      </c>
      <c r="X324" s="8">
        <f t="shared" si="50"/>
        <v>7.6980494695551171E-11</v>
      </c>
      <c r="Y324" s="8">
        <v>2.5610279999999999E-2</v>
      </c>
      <c r="Z324" s="8">
        <f t="shared" si="51"/>
        <v>5.5357143123859034E-7</v>
      </c>
      <c r="AA324" s="8">
        <v>0.22585654499999999</v>
      </c>
      <c r="AB324" s="8">
        <f t="shared" si="52"/>
        <v>4.8819353349613158E-6</v>
      </c>
      <c r="AC324" s="8">
        <v>11.647084319999999</v>
      </c>
      <c r="AD324" s="18">
        <f t="shared" si="53"/>
        <v>2.5175410564737846E-4</v>
      </c>
      <c r="AE324" s="9">
        <v>94.8</v>
      </c>
      <c r="AF324" s="10">
        <v>91.9</v>
      </c>
      <c r="AG324" s="10">
        <v>76.2</v>
      </c>
      <c r="AH324" s="10">
        <v>96.2</v>
      </c>
      <c r="AI324" s="10">
        <v>95.2</v>
      </c>
      <c r="AJ324" s="10">
        <v>93.1</v>
      </c>
      <c r="AK324" s="11">
        <v>46263.731390000001</v>
      </c>
      <c r="AL324" s="11">
        <v>45.314424099999997</v>
      </c>
      <c r="AM324" s="11">
        <v>10091.705180000001</v>
      </c>
      <c r="AN324" s="11">
        <v>9.4</v>
      </c>
      <c r="AO324" s="11">
        <v>85.700999999999993</v>
      </c>
      <c r="AP324" s="19">
        <v>3.47020902</v>
      </c>
    </row>
    <row r="325" spans="2:42">
      <c r="B325" t="s">
        <v>41</v>
      </c>
      <c r="C325" t="s">
        <v>42</v>
      </c>
      <c r="D325" t="s">
        <v>43</v>
      </c>
      <c r="E325" t="s">
        <v>35</v>
      </c>
      <c r="F325" t="s">
        <v>36</v>
      </c>
      <c r="G325" t="s">
        <v>37</v>
      </c>
      <c r="H325" t="s">
        <v>38</v>
      </c>
      <c r="I325" t="s">
        <v>39</v>
      </c>
      <c r="J325" t="s">
        <v>40</v>
      </c>
      <c r="K325">
        <v>2015</v>
      </c>
      <c r="L325">
        <v>0.40599031049239698</v>
      </c>
      <c r="M325" s="7">
        <v>82.168743910000003</v>
      </c>
      <c r="N325" s="7">
        <f t="shared" si="45"/>
        <v>1.65787819794201E-3</v>
      </c>
      <c r="O325" s="8">
        <v>5.4809440230000002</v>
      </c>
      <c r="P325" s="8">
        <f t="shared" si="46"/>
        <v>1.1058630286261936E-4</v>
      </c>
      <c r="Q325" s="8">
        <v>0.70912888500000004</v>
      </c>
      <c r="R325" s="8">
        <f t="shared" si="47"/>
        <v>1.4307743577778476E-5</v>
      </c>
      <c r="S325" s="8">
        <v>0.76384251999999997</v>
      </c>
      <c r="T325" s="8">
        <f t="shared" si="48"/>
        <v>1.5411673591556104E-5</v>
      </c>
      <c r="U325" s="8">
        <v>5.8685370000000001E-2</v>
      </c>
      <c r="V325" s="8">
        <f t="shared" si="49"/>
        <v>1.1840657509347594E-6</v>
      </c>
      <c r="W325" s="8">
        <v>8.6036186000000001E-2</v>
      </c>
      <c r="X325" s="8">
        <f t="shared" si="50"/>
        <v>2.3890310353955265E-11</v>
      </c>
      <c r="Y325" s="8">
        <v>1.8626541E-2</v>
      </c>
      <c r="Z325" s="8">
        <f t="shared" si="51"/>
        <v>3.7581852609060969E-7</v>
      </c>
      <c r="AA325" s="8">
        <v>2.9287773999999999E-2</v>
      </c>
      <c r="AB325" s="8">
        <f t="shared" si="52"/>
        <v>5.9092496331739103E-7</v>
      </c>
      <c r="AC325" s="8">
        <v>1.856272245</v>
      </c>
      <c r="AD325" s="18">
        <f t="shared" si="53"/>
        <v>3.7453089069989274E-5</v>
      </c>
      <c r="AE325" s="9">
        <v>90.5</v>
      </c>
      <c r="AF325" s="10">
        <v>89</v>
      </c>
      <c r="AG325" s="10">
        <v>90</v>
      </c>
      <c r="AH325" s="10">
        <v>91.4</v>
      </c>
      <c r="AI325" s="10">
        <v>96.2</v>
      </c>
      <c r="AJ325" s="10">
        <v>94.1</v>
      </c>
      <c r="AK325" s="11">
        <v>49562.593930000003</v>
      </c>
      <c r="AL325" s="11">
        <v>32.942922899999999</v>
      </c>
      <c r="AM325" s="11">
        <v>8318.466257</v>
      </c>
      <c r="AN325" s="11">
        <v>34.799999999999997</v>
      </c>
      <c r="AO325" s="11">
        <v>57.715000000000003</v>
      </c>
      <c r="AP325" s="19">
        <v>-1.8040951000000001</v>
      </c>
    </row>
    <row r="326" spans="2:42">
      <c r="B326" t="s">
        <v>44</v>
      </c>
      <c r="C326" t="s">
        <v>45</v>
      </c>
      <c r="D326" t="s">
        <v>46</v>
      </c>
      <c r="E326" t="s">
        <v>35</v>
      </c>
      <c r="F326" t="s">
        <v>36</v>
      </c>
      <c r="G326" t="s">
        <v>37</v>
      </c>
      <c r="H326" t="s">
        <v>38</v>
      </c>
      <c r="I326" t="s">
        <v>39</v>
      </c>
      <c r="J326" t="s">
        <v>40</v>
      </c>
      <c r="K326">
        <v>2015</v>
      </c>
      <c r="L326">
        <v>8.0912100036778199E-3</v>
      </c>
      <c r="M326" s="7">
        <v>53.363199899999998</v>
      </c>
      <c r="N326" s="7">
        <f t="shared" si="45"/>
        <v>3.5397834062255362E-3</v>
      </c>
      <c r="O326" s="8">
        <v>7.8209693979999999</v>
      </c>
      <c r="P326" s="8">
        <f t="shared" si="46"/>
        <v>5.1879455781357901E-4</v>
      </c>
      <c r="Q326" s="8">
        <v>4.3125916E-2</v>
      </c>
      <c r="R326" s="8">
        <f t="shared" si="47"/>
        <v>2.8607055446664915E-6</v>
      </c>
      <c r="S326" s="8">
        <v>4.9258342510000004</v>
      </c>
      <c r="T326" s="8">
        <f t="shared" si="48"/>
        <v>3.2674926496503438E-4</v>
      </c>
      <c r="U326" s="8">
        <v>1.3570839999999999E-3</v>
      </c>
      <c r="V326" s="8">
        <f t="shared" si="49"/>
        <v>9.002052787419474E-8</v>
      </c>
      <c r="W326" s="8">
        <v>1.5356195E-2</v>
      </c>
      <c r="X326" s="8">
        <f t="shared" si="50"/>
        <v>5.9714029778176384E-12</v>
      </c>
      <c r="Y326" s="8">
        <v>4.0942700000000002E-4</v>
      </c>
      <c r="Z326" s="8">
        <f t="shared" si="51"/>
        <v>2.7158845484839504E-8</v>
      </c>
      <c r="AA326" s="8">
        <v>3.4504306999999998E-2</v>
      </c>
      <c r="AB326" s="8">
        <f t="shared" si="52"/>
        <v>2.2888015259728008E-6</v>
      </c>
      <c r="AC326" s="8">
        <v>2.7104709090000001</v>
      </c>
      <c r="AD326" s="18">
        <f t="shared" si="53"/>
        <v>1.7979581368274069E-4</v>
      </c>
      <c r="AE326" s="9">
        <v>16.7</v>
      </c>
      <c r="AF326" s="10">
        <v>44.8</v>
      </c>
      <c r="AG326" s="10">
        <v>21.9</v>
      </c>
      <c r="AH326" s="10">
        <v>40</v>
      </c>
      <c r="AI326" s="10">
        <v>28.1</v>
      </c>
      <c r="AJ326" s="10">
        <v>6.9</v>
      </c>
      <c r="AK326" s="11">
        <v>15075.272629999999</v>
      </c>
      <c r="AL326" s="11">
        <v>57.701752900000002</v>
      </c>
      <c r="AM326" s="11">
        <v>2244.920145</v>
      </c>
      <c r="AN326" s="11">
        <v>2.2999999999999998</v>
      </c>
      <c r="AO326" s="11">
        <v>54.713999999999999</v>
      </c>
      <c r="AP326" s="19">
        <v>7.6260683800000004</v>
      </c>
    </row>
    <row r="327" spans="2:42">
      <c r="B327" t="s">
        <v>47</v>
      </c>
      <c r="C327" t="s">
        <v>48</v>
      </c>
      <c r="D327" t="s">
        <v>49</v>
      </c>
      <c r="E327" t="s">
        <v>35</v>
      </c>
      <c r="F327" t="s">
        <v>36</v>
      </c>
      <c r="G327" t="s">
        <v>37</v>
      </c>
      <c r="H327" t="s">
        <v>38</v>
      </c>
      <c r="I327" t="s">
        <v>39</v>
      </c>
      <c r="J327" t="s">
        <v>40</v>
      </c>
      <c r="K327">
        <v>2015</v>
      </c>
      <c r="L327">
        <v>1.26498072963413</v>
      </c>
      <c r="M327" s="7">
        <v>3.1334184000000001E-2</v>
      </c>
      <c r="N327" s="7">
        <f t="shared" si="45"/>
        <v>6.7993271294840767E-7</v>
      </c>
      <c r="O327" s="8">
        <v>7.1572731599999999</v>
      </c>
      <c r="P327" s="8">
        <f t="shared" si="46"/>
        <v>1.5530846940171227E-4</v>
      </c>
      <c r="Q327" s="8">
        <v>0.29566577599999999</v>
      </c>
      <c r="R327" s="8">
        <f t="shared" si="47"/>
        <v>6.4157673039028619E-6</v>
      </c>
      <c r="S327" s="8">
        <v>2.5307146980000002</v>
      </c>
      <c r="T327" s="8">
        <f t="shared" si="48"/>
        <v>5.4914967956706653E-5</v>
      </c>
      <c r="U327" s="8">
        <v>4.7059472999999998E-2</v>
      </c>
      <c r="V327" s="8">
        <f t="shared" si="49"/>
        <v>1.0211619088855909E-6</v>
      </c>
      <c r="W327" s="8">
        <v>7.4809065999999994E-2</v>
      </c>
      <c r="X327" s="8">
        <f t="shared" si="50"/>
        <v>2.2158591622113231E-11</v>
      </c>
      <c r="Y327" s="8">
        <v>4.9497499E-2</v>
      </c>
      <c r="Z327" s="8">
        <f t="shared" si="51"/>
        <v>1.0740655885352271E-6</v>
      </c>
      <c r="AA327" s="8">
        <v>2.8928968999999999E-2</v>
      </c>
      <c r="AB327" s="8">
        <f t="shared" si="52"/>
        <v>6.2774101201966456E-7</v>
      </c>
      <c r="AC327" s="8">
        <v>2.4113107810000001</v>
      </c>
      <c r="AD327" s="18">
        <f t="shared" si="53"/>
        <v>5.2323975664631118E-5</v>
      </c>
      <c r="AE327" s="9">
        <v>91</v>
      </c>
      <c r="AF327" s="10">
        <v>91.4</v>
      </c>
      <c r="AG327" s="10">
        <v>64.3</v>
      </c>
      <c r="AH327" s="10">
        <v>88.6</v>
      </c>
      <c r="AI327" s="10">
        <v>88.1</v>
      </c>
      <c r="AJ327" s="10">
        <v>94.6</v>
      </c>
      <c r="AK327" s="11">
        <v>46084.242460000001</v>
      </c>
      <c r="AL327" s="11">
        <v>43.780700899999999</v>
      </c>
      <c r="AM327" s="11">
        <v>7700.1499709999998</v>
      </c>
      <c r="AN327" s="11">
        <v>9.4</v>
      </c>
      <c r="AO327" s="11">
        <v>97.876000000000005</v>
      </c>
      <c r="AP327" s="19">
        <v>-4.2326141000000002</v>
      </c>
    </row>
    <row r="328" spans="2:42">
      <c r="B328" t="s">
        <v>50</v>
      </c>
      <c r="C328" t="s">
        <v>51</v>
      </c>
      <c r="D328" t="s">
        <v>52</v>
      </c>
      <c r="E328" t="s">
        <v>35</v>
      </c>
      <c r="F328" t="s">
        <v>36</v>
      </c>
      <c r="G328" t="s">
        <v>37</v>
      </c>
      <c r="H328" t="s">
        <v>38</v>
      </c>
      <c r="I328" t="s">
        <v>39</v>
      </c>
      <c r="J328" t="s">
        <v>40</v>
      </c>
      <c r="K328">
        <v>2015</v>
      </c>
      <c r="L328">
        <v>0.77758694764288105</v>
      </c>
      <c r="M328" s="7">
        <v>236.18362429999999</v>
      </c>
      <c r="N328" s="7">
        <f t="shared" si="45"/>
        <v>1.2495713390085759E-2</v>
      </c>
      <c r="O328" s="8">
        <v>2.1128890089999999</v>
      </c>
      <c r="P328" s="8">
        <f t="shared" si="46"/>
        <v>1.1178613911009549E-4</v>
      </c>
      <c r="Q328" s="8">
        <v>0.31212010499999998</v>
      </c>
      <c r="R328" s="8">
        <f t="shared" si="47"/>
        <v>1.6513267534625908E-5</v>
      </c>
      <c r="S328" s="8">
        <v>1.176411989</v>
      </c>
      <c r="T328" s="8">
        <f t="shared" si="48"/>
        <v>6.2240162021278298E-5</v>
      </c>
      <c r="U328" s="8">
        <v>1.4196186E-2</v>
      </c>
      <c r="V328" s="8">
        <f t="shared" si="49"/>
        <v>7.5107438974272693E-7</v>
      </c>
      <c r="W328" s="8">
        <v>1.0012531999999999E-2</v>
      </c>
      <c r="X328" s="8">
        <f t="shared" si="50"/>
        <v>3.97369222217439E-11</v>
      </c>
      <c r="Y328" s="8">
        <v>7.309154E-3</v>
      </c>
      <c r="Z328" s="8">
        <f t="shared" si="51"/>
        <v>3.8670375128119703E-7</v>
      </c>
      <c r="AA328" s="8">
        <v>5.0010552999999999E-2</v>
      </c>
      <c r="AB328" s="8">
        <f t="shared" si="52"/>
        <v>2.6458969736780921E-6</v>
      </c>
      <c r="AC328" s="8">
        <v>6.2362286630000003</v>
      </c>
      <c r="AD328" s="18">
        <f t="shared" si="53"/>
        <v>3.2993873406271426E-4</v>
      </c>
      <c r="AE328" s="9">
        <v>45.2</v>
      </c>
      <c r="AF328" s="10">
        <v>52.4</v>
      </c>
      <c r="AG328" s="10">
        <v>46.7</v>
      </c>
      <c r="AH328" s="10">
        <v>70.5</v>
      </c>
      <c r="AI328" s="10">
        <v>51.4</v>
      </c>
      <c r="AJ328" s="10">
        <v>61.1</v>
      </c>
      <c r="AK328" s="11">
        <v>18901.171699999999</v>
      </c>
      <c r="AL328" s="11">
        <v>46.1670965</v>
      </c>
      <c r="AM328" s="11">
        <v>4992.2503930000003</v>
      </c>
      <c r="AN328" s="11">
        <v>17.899999999999999</v>
      </c>
      <c r="AO328" s="11">
        <v>73.989999999999995</v>
      </c>
      <c r="AP328" s="19">
        <v>4.3757506599999996</v>
      </c>
    </row>
    <row r="329" spans="2:42">
      <c r="B329" t="s">
        <v>53</v>
      </c>
      <c r="C329" t="s">
        <v>54</v>
      </c>
      <c r="D329" t="s">
        <v>55</v>
      </c>
      <c r="E329" t="s">
        <v>35</v>
      </c>
      <c r="F329" t="s">
        <v>36</v>
      </c>
      <c r="G329" t="s">
        <v>37</v>
      </c>
      <c r="H329" t="s">
        <v>38</v>
      </c>
      <c r="I329" t="s">
        <v>39</v>
      </c>
      <c r="J329" t="s">
        <v>40</v>
      </c>
      <c r="K329">
        <v>2015</v>
      </c>
      <c r="L329">
        <v>0.688691601509414</v>
      </c>
      <c r="M329" s="7">
        <v>13.030559719999999</v>
      </c>
      <c r="N329" s="7">
        <f t="shared" si="45"/>
        <v>2.9171076257427308E-4</v>
      </c>
      <c r="O329" s="8">
        <v>30.92453832</v>
      </c>
      <c r="P329" s="8">
        <f t="shared" si="46"/>
        <v>6.9229724965218383E-4</v>
      </c>
      <c r="Q329" s="8">
        <v>1.1103135669999999</v>
      </c>
      <c r="R329" s="8">
        <f t="shared" si="47"/>
        <v>2.4856216792361336E-5</v>
      </c>
      <c r="S329" s="8">
        <v>78.228727910000003</v>
      </c>
      <c r="T329" s="8">
        <f t="shared" si="48"/>
        <v>1.7512802492141467E-3</v>
      </c>
      <c r="U329" s="8">
        <v>0.277086047</v>
      </c>
      <c r="V329" s="8">
        <f t="shared" si="49"/>
        <v>6.2030322415851584E-6</v>
      </c>
      <c r="W329" s="8">
        <v>0.14285600600000001</v>
      </c>
      <c r="X329" s="8">
        <f t="shared" si="50"/>
        <v>1.3886519875952105E-10</v>
      </c>
      <c r="Y329" s="8">
        <v>0.143380225</v>
      </c>
      <c r="Z329" s="8">
        <f t="shared" si="51"/>
        <v>3.2098049256184104E-6</v>
      </c>
      <c r="AA329" s="8">
        <v>0.64762209100000001</v>
      </c>
      <c r="AB329" s="8">
        <f t="shared" si="52"/>
        <v>1.4498098169612263E-5</v>
      </c>
      <c r="AC329" s="8">
        <v>19.550677319999998</v>
      </c>
      <c r="AD329" s="18">
        <f t="shared" si="53"/>
        <v>4.3767444472145404E-4</v>
      </c>
      <c r="AE329" s="9">
        <v>95.2</v>
      </c>
      <c r="AF329" s="10">
        <v>94.8</v>
      </c>
      <c r="AG329" s="10">
        <v>94.3</v>
      </c>
      <c r="AH329" s="10">
        <v>93.8</v>
      </c>
      <c r="AI329" s="10">
        <v>95.7</v>
      </c>
      <c r="AJ329" s="10">
        <v>96.1</v>
      </c>
      <c r="AK329" s="11">
        <v>44669.451359999999</v>
      </c>
      <c r="AL329" s="11">
        <v>6.4675052099999997</v>
      </c>
      <c r="AM329" s="11">
        <v>15826.3253</v>
      </c>
      <c r="AN329" s="11">
        <v>22.3</v>
      </c>
      <c r="AO329" s="11">
        <v>81.259</v>
      </c>
      <c r="AP329" s="19">
        <v>3.8538945400000002</v>
      </c>
    </row>
    <row r="330" spans="2:42">
      <c r="B330" t="s">
        <v>56</v>
      </c>
      <c r="C330" t="s">
        <v>57</v>
      </c>
      <c r="D330" t="s">
        <v>58</v>
      </c>
      <c r="E330" t="s">
        <v>35</v>
      </c>
      <c r="F330" t="s">
        <v>36</v>
      </c>
      <c r="G330" t="s">
        <v>37</v>
      </c>
      <c r="H330" t="s">
        <v>38</v>
      </c>
      <c r="I330" t="s">
        <v>39</v>
      </c>
      <c r="J330" t="s">
        <v>40</v>
      </c>
      <c r="K330">
        <v>2015</v>
      </c>
      <c r="L330">
        <v>8.5802560932658603E-2</v>
      </c>
      <c r="M330" s="7">
        <v>755.90571950000003</v>
      </c>
      <c r="N330" s="7">
        <f t="shared" si="45"/>
        <v>3.3658818974919756E-2</v>
      </c>
      <c r="O330" s="8">
        <v>6.3813666900000001</v>
      </c>
      <c r="P330" s="8">
        <f t="shared" si="46"/>
        <v>2.8414822204727723E-4</v>
      </c>
      <c r="Q330" s="8">
        <v>0.60938309000000002</v>
      </c>
      <c r="R330" s="8">
        <f t="shared" si="47"/>
        <v>2.7134488579150422E-5</v>
      </c>
      <c r="S330" s="8">
        <v>1.8397389289999999</v>
      </c>
      <c r="T330" s="8">
        <f t="shared" si="48"/>
        <v>8.1919527759736371E-5</v>
      </c>
      <c r="U330" s="8">
        <v>9.2878027000000002E-2</v>
      </c>
      <c r="V330" s="8">
        <f t="shared" si="49"/>
        <v>4.1356542448290196E-6</v>
      </c>
      <c r="W330" s="8">
        <v>0.14113257200000001</v>
      </c>
      <c r="X330" s="8">
        <f t="shared" si="50"/>
        <v>1.8415158660478747E-10</v>
      </c>
      <c r="Y330" s="8">
        <v>1.1791118E-2</v>
      </c>
      <c r="Z330" s="8">
        <f t="shared" si="51"/>
        <v>5.2503254841944327E-7</v>
      </c>
      <c r="AA330" s="8">
        <v>6.5392216000000003E-2</v>
      </c>
      <c r="AB330" s="8">
        <f t="shared" si="52"/>
        <v>2.911771539668647E-6</v>
      </c>
      <c r="AC330" s="8">
        <v>11.09479954</v>
      </c>
      <c r="AD330" s="18">
        <f t="shared" si="53"/>
        <v>4.940270190400153E-4</v>
      </c>
      <c r="AE330" s="9">
        <v>87.1</v>
      </c>
      <c r="AF330" s="10">
        <v>76.7</v>
      </c>
      <c r="AG330" s="10">
        <v>60</v>
      </c>
      <c r="AH330" s="10">
        <v>89</v>
      </c>
      <c r="AI330" s="10">
        <v>84.8</v>
      </c>
      <c r="AJ330" s="10">
        <v>79.3</v>
      </c>
      <c r="AK330" s="11">
        <v>22457.88006</v>
      </c>
      <c r="AL330" s="11">
        <v>17.521501300000001</v>
      </c>
      <c r="AM330" s="11">
        <v>3973.2097709999998</v>
      </c>
      <c r="AN330" s="11">
        <v>25.1</v>
      </c>
      <c r="AO330" s="11">
        <v>87.36</v>
      </c>
      <c r="AP330" s="19">
        <v>7.32780349</v>
      </c>
    </row>
    <row r="331" spans="2:42">
      <c r="B331" t="s">
        <v>59</v>
      </c>
      <c r="C331" t="s">
        <v>60</v>
      </c>
      <c r="D331" t="s">
        <v>61</v>
      </c>
      <c r="E331" t="s">
        <v>35</v>
      </c>
      <c r="F331" t="s">
        <v>36</v>
      </c>
      <c r="G331" t="s">
        <v>37</v>
      </c>
      <c r="H331" t="s">
        <v>38</v>
      </c>
      <c r="I331" t="s">
        <v>39</v>
      </c>
      <c r="J331" t="s">
        <v>40</v>
      </c>
      <c r="K331">
        <v>2015</v>
      </c>
      <c r="L331">
        <v>0.11053468397110799</v>
      </c>
      <c r="M331" s="7">
        <v>0.27764333499999999</v>
      </c>
      <c r="N331" s="7">
        <f t="shared" si="45"/>
        <v>1.1685841219309833E-5</v>
      </c>
      <c r="O331" s="8">
        <v>1.6831422330000001</v>
      </c>
      <c r="P331" s="8">
        <f t="shared" si="46"/>
        <v>7.0842445702334601E-5</v>
      </c>
      <c r="Q331" s="8">
        <v>0.41673874900000002</v>
      </c>
      <c r="R331" s="8">
        <f t="shared" si="47"/>
        <v>1.7540283654739327E-5</v>
      </c>
      <c r="S331" s="8">
        <v>0.334834297</v>
      </c>
      <c r="T331" s="8">
        <f t="shared" si="48"/>
        <v>1.4092974461357882E-5</v>
      </c>
      <c r="U331" s="8">
        <v>3.6480369999999998E-3</v>
      </c>
      <c r="V331" s="8">
        <f t="shared" si="49"/>
        <v>1.5354368634192996E-7</v>
      </c>
      <c r="W331" s="8">
        <v>4.3161800000000002E-3</v>
      </c>
      <c r="X331" s="8">
        <f t="shared" si="50"/>
        <v>6.4625615407598578E-12</v>
      </c>
      <c r="Y331" s="8">
        <v>1.561542E-3</v>
      </c>
      <c r="Z331" s="8">
        <f t="shared" si="51"/>
        <v>6.5724364927699465E-8</v>
      </c>
      <c r="AA331" s="8">
        <v>1.3863458E-2</v>
      </c>
      <c r="AB331" s="8">
        <f t="shared" si="52"/>
        <v>5.8350462091434923E-7</v>
      </c>
      <c r="AC331" s="8">
        <v>1.4965696770000001</v>
      </c>
      <c r="AD331" s="18">
        <f t="shared" si="53"/>
        <v>6.2989718874597887E-5</v>
      </c>
      <c r="AE331" s="9">
        <v>61</v>
      </c>
      <c r="AF331" s="10">
        <v>70</v>
      </c>
      <c r="AG331" s="10">
        <v>64.8</v>
      </c>
      <c r="AH331" s="10">
        <v>61.9</v>
      </c>
      <c r="AI331" s="10">
        <v>60.5</v>
      </c>
      <c r="AJ331" s="10">
        <v>65.5</v>
      </c>
      <c r="AK331" s="11">
        <v>23758.951519999999</v>
      </c>
      <c r="AL331" s="11">
        <v>27.467657800000001</v>
      </c>
      <c r="AM331" s="11">
        <v>3947.7566550000001</v>
      </c>
      <c r="AN331" s="11">
        <v>33.1</v>
      </c>
      <c r="AO331" s="11">
        <v>56.155000000000001</v>
      </c>
      <c r="AP331" s="19">
        <v>0.95805116000000001</v>
      </c>
    </row>
    <row r="332" spans="2:42">
      <c r="B332" t="s">
        <v>62</v>
      </c>
      <c r="C332" t="s">
        <v>63</v>
      </c>
      <c r="D332" t="s">
        <v>64</v>
      </c>
      <c r="E332" t="s">
        <v>35</v>
      </c>
      <c r="F332" t="s">
        <v>36</v>
      </c>
      <c r="G332" t="s">
        <v>37</v>
      </c>
      <c r="H332" t="s">
        <v>38</v>
      </c>
      <c r="I332" t="s">
        <v>39</v>
      </c>
      <c r="J332" t="s">
        <v>40</v>
      </c>
      <c r="K332">
        <v>2015</v>
      </c>
      <c r="L332">
        <v>0.35115775818203199</v>
      </c>
      <c r="M332" s="7">
        <v>8.3657000789999998</v>
      </c>
      <c r="N332" s="7">
        <f t="shared" si="45"/>
        <v>2.61994989078819E-4</v>
      </c>
      <c r="O332" s="8">
        <v>0.355561193</v>
      </c>
      <c r="P332" s="8">
        <f t="shared" si="46"/>
        <v>1.1135380183032121E-5</v>
      </c>
      <c r="Q332" s="8">
        <v>7.8545360000000005E-3</v>
      </c>
      <c r="R332" s="8">
        <f t="shared" si="47"/>
        <v>2.4598647502375882E-7</v>
      </c>
      <c r="S332" s="8">
        <v>2.7850309999999999E-3</v>
      </c>
      <c r="T332" s="8">
        <f t="shared" si="48"/>
        <v>8.7220933040716085E-8</v>
      </c>
      <c r="U332" s="8">
        <v>1.377805E-3</v>
      </c>
      <c r="V332" s="8">
        <f t="shared" si="49"/>
        <v>4.314976660876085E-8</v>
      </c>
      <c r="W332" s="8">
        <v>1.844076E-3</v>
      </c>
      <c r="X332" s="8">
        <f t="shared" si="50"/>
        <v>1.3513540438527461E-12</v>
      </c>
      <c r="Y332" s="8"/>
      <c r="Z332" s="8">
        <f t="shared" si="51"/>
        <v>0</v>
      </c>
      <c r="AA332" s="8">
        <v>4.0203319999999997E-3</v>
      </c>
      <c r="AB332" s="8">
        <f t="shared" si="52"/>
        <v>1.2590779354823991E-7</v>
      </c>
      <c r="AC332" s="8">
        <v>0.58706177900000001</v>
      </c>
      <c r="AD332" s="18">
        <f t="shared" si="53"/>
        <v>1.8385460024295123E-5</v>
      </c>
      <c r="AE332" s="9">
        <v>79.5</v>
      </c>
      <c r="AF332" s="10">
        <v>80.5</v>
      </c>
      <c r="AG332" s="10">
        <v>62.4</v>
      </c>
      <c r="AH332" s="10">
        <v>80.5</v>
      </c>
      <c r="AI332" s="10">
        <v>81</v>
      </c>
      <c r="AJ332" s="10">
        <v>80.8</v>
      </c>
      <c r="AK332" s="11">
        <v>31930.76367</v>
      </c>
      <c r="AL332" s="11">
        <v>13.709956699999999</v>
      </c>
      <c r="AM332" s="11">
        <v>3541.6096080000002</v>
      </c>
      <c r="AN332" s="11">
        <v>10.4</v>
      </c>
      <c r="AO332" s="11">
        <v>66.945999999999998</v>
      </c>
      <c r="AP332" s="19">
        <v>137.22068300000001</v>
      </c>
    </row>
    <row r="333" spans="2:42">
      <c r="B333" t="s">
        <v>65</v>
      </c>
      <c r="C333" t="s">
        <v>66</v>
      </c>
      <c r="D333" t="s">
        <v>67</v>
      </c>
      <c r="E333" t="s">
        <v>35</v>
      </c>
      <c r="F333" t="s">
        <v>36</v>
      </c>
      <c r="G333" t="s">
        <v>37</v>
      </c>
      <c r="H333" t="s">
        <v>38</v>
      </c>
      <c r="I333" t="s">
        <v>39</v>
      </c>
      <c r="J333" t="s">
        <v>40</v>
      </c>
      <c r="K333">
        <v>2015</v>
      </c>
      <c r="L333">
        <v>1.10935798112068</v>
      </c>
      <c r="M333" s="7">
        <v>8.3657000789999998</v>
      </c>
      <c r="N333" s="7">
        <f t="shared" si="45"/>
        <v>2.4531278696527579E-4</v>
      </c>
      <c r="O333" s="8">
        <v>5.2139166440000002</v>
      </c>
      <c r="P333" s="8">
        <f t="shared" si="46"/>
        <v>1.5289102057997384E-4</v>
      </c>
      <c r="Q333" s="8">
        <v>0.95646750000000003</v>
      </c>
      <c r="R333" s="8">
        <f t="shared" si="47"/>
        <v>2.8047109727935289E-5</v>
      </c>
      <c r="S333" s="8">
        <v>3.3402536299999999</v>
      </c>
      <c r="T333" s="8">
        <f t="shared" si="48"/>
        <v>9.7948398748252466E-5</v>
      </c>
      <c r="U333" s="8">
        <v>3.3854386E-2</v>
      </c>
      <c r="V333" s="8">
        <f t="shared" si="49"/>
        <v>9.9273386593258662E-7</v>
      </c>
      <c r="W333" s="8">
        <v>4.4913966E-2</v>
      </c>
      <c r="X333" s="8">
        <f t="shared" si="50"/>
        <v>2.9110571627837494E-11</v>
      </c>
      <c r="Y333" s="8">
        <v>1.4614669E-2</v>
      </c>
      <c r="Z333" s="8">
        <f t="shared" si="51"/>
        <v>4.2855530907265991E-7</v>
      </c>
      <c r="AA333" s="8">
        <v>3.7612920000000001E-2</v>
      </c>
      <c r="AB333" s="8">
        <f t="shared" si="52"/>
        <v>1.1029477681448161E-6</v>
      </c>
      <c r="AC333" s="8">
        <v>4.6662910379999998</v>
      </c>
      <c r="AD333" s="18">
        <f t="shared" si="53"/>
        <v>1.368326438329238E-4</v>
      </c>
      <c r="AE333" s="9">
        <v>66.2</v>
      </c>
      <c r="AF333" s="10">
        <v>81</v>
      </c>
      <c r="AG333" s="10">
        <v>81.900000000000006</v>
      </c>
      <c r="AH333" s="10">
        <v>81.400000000000006</v>
      </c>
      <c r="AI333" s="10">
        <v>83.3</v>
      </c>
      <c r="AJ333" s="10">
        <v>82.3</v>
      </c>
      <c r="AK333" s="11">
        <v>34102.17699</v>
      </c>
      <c r="AL333" s="11">
        <v>45.2532055</v>
      </c>
      <c r="AM333" s="11">
        <v>6382.4789899999996</v>
      </c>
      <c r="AN333" s="11">
        <v>14.8</v>
      </c>
      <c r="AO333" s="11">
        <v>73.477000000000004</v>
      </c>
      <c r="AP333" s="19">
        <v>0.89891348999999998</v>
      </c>
    </row>
    <row r="334" spans="2:42">
      <c r="B334" t="s">
        <v>68</v>
      </c>
      <c r="C334" t="s">
        <v>69</v>
      </c>
      <c r="D334" t="s">
        <v>70</v>
      </c>
      <c r="E334" t="s">
        <v>35</v>
      </c>
      <c r="F334" t="s">
        <v>36</v>
      </c>
      <c r="G334" t="s">
        <v>37</v>
      </c>
      <c r="H334" t="s">
        <v>38</v>
      </c>
      <c r="I334" t="s">
        <v>39</v>
      </c>
      <c r="J334" t="s">
        <v>40</v>
      </c>
      <c r="K334">
        <v>2015</v>
      </c>
      <c r="L334">
        <v>0.42305962218786902</v>
      </c>
      <c r="M334" s="7">
        <v>755.90571950000003</v>
      </c>
      <c r="N334" s="7">
        <f t="shared" si="45"/>
        <v>1.5454929087372199E-2</v>
      </c>
      <c r="O334" s="8">
        <v>6.7881688440000003</v>
      </c>
      <c r="P334" s="8">
        <f t="shared" si="46"/>
        <v>1.3878803323055068E-4</v>
      </c>
      <c r="Q334" s="8">
        <v>0.38549768000000001</v>
      </c>
      <c r="R334" s="8">
        <f t="shared" si="47"/>
        <v>7.881722751995264E-6</v>
      </c>
      <c r="S334" s="8">
        <v>0.42979546600000001</v>
      </c>
      <c r="T334" s="8">
        <f t="shared" si="48"/>
        <v>8.7874165755721458E-6</v>
      </c>
      <c r="U334" s="8">
        <v>8.2727689999999993E-3</v>
      </c>
      <c r="V334" s="8">
        <f t="shared" si="49"/>
        <v>1.6914154100564521E-7</v>
      </c>
      <c r="W334" s="8">
        <v>8.5009362000000005E-2</v>
      </c>
      <c r="X334" s="8">
        <f t="shared" si="50"/>
        <v>3.458196511200103E-12</v>
      </c>
      <c r="Y334" s="13">
        <v>7.3583999999999995E-7</v>
      </c>
      <c r="Z334" s="8">
        <f t="shared" si="51"/>
        <v>1.5044673861145401E-11</v>
      </c>
      <c r="AA334" s="8">
        <v>1.7373926000000001E-2</v>
      </c>
      <c r="AB334" s="8">
        <f t="shared" si="52"/>
        <v>3.5521995319318674E-7</v>
      </c>
      <c r="AC334" s="8">
        <v>2.123198446</v>
      </c>
      <c r="AD334" s="18">
        <f t="shared" si="53"/>
        <v>4.3410018703197349E-5</v>
      </c>
      <c r="AE334" s="9">
        <v>98.6</v>
      </c>
      <c r="AF334" s="10">
        <v>96.7</v>
      </c>
      <c r="AG334" s="10">
        <v>76.7</v>
      </c>
      <c r="AH334" s="10">
        <v>94.8</v>
      </c>
      <c r="AI334" s="10">
        <v>99.5</v>
      </c>
      <c r="AJ334" s="10">
        <v>97.5</v>
      </c>
      <c r="AK334" s="11">
        <v>48910.332439999998</v>
      </c>
      <c r="AL334" s="11">
        <v>65.847475000000003</v>
      </c>
      <c r="AM334" s="11">
        <v>5821.6062229999998</v>
      </c>
      <c r="AN334" s="11">
        <v>32.5</v>
      </c>
      <c r="AO334" s="11">
        <v>87.525999999999996</v>
      </c>
      <c r="AP334" s="19">
        <v>0.61075067999999999</v>
      </c>
    </row>
    <row r="335" spans="2:42">
      <c r="B335" t="s">
        <v>71</v>
      </c>
      <c r="C335" t="s">
        <v>72</v>
      </c>
      <c r="D335" t="s">
        <v>73</v>
      </c>
      <c r="E335" t="s">
        <v>35</v>
      </c>
      <c r="F335" t="s">
        <v>36</v>
      </c>
      <c r="G335" t="s">
        <v>37</v>
      </c>
      <c r="H335" t="s">
        <v>38</v>
      </c>
      <c r="I335" t="s">
        <v>39</v>
      </c>
      <c r="J335" t="s">
        <v>40</v>
      </c>
      <c r="K335">
        <v>2015</v>
      </c>
      <c r="L335">
        <v>0.14548875255616001</v>
      </c>
      <c r="M335" s="7">
        <v>322.19760710000003</v>
      </c>
      <c r="N335" s="7">
        <f t="shared" si="45"/>
        <v>4.0611077472423478E-2</v>
      </c>
      <c r="O335" s="8">
        <v>1.922427645</v>
      </c>
      <c r="P335" s="8">
        <f t="shared" si="46"/>
        <v>2.4231048370881465E-4</v>
      </c>
      <c r="Q335" s="8">
        <v>7.0468317000000003E-2</v>
      </c>
      <c r="R335" s="8">
        <f t="shared" si="47"/>
        <v>8.882109047290614E-6</v>
      </c>
      <c r="S335" s="8"/>
      <c r="T335" s="8">
        <f t="shared" si="48"/>
        <v>0</v>
      </c>
      <c r="U335" s="8">
        <v>8.98528E-4</v>
      </c>
      <c r="V335" s="8">
        <f t="shared" si="49"/>
        <v>1.1325406959902193E-7</v>
      </c>
      <c r="W335" s="8">
        <v>1.0026689E-2</v>
      </c>
      <c r="X335" s="8">
        <f t="shared" si="50"/>
        <v>1.4274996751064076E-11</v>
      </c>
      <c r="Y335" s="8"/>
      <c r="Z335" s="8">
        <f t="shared" si="51"/>
        <v>0</v>
      </c>
      <c r="AA335" s="8">
        <v>1.544067E-2</v>
      </c>
      <c r="AB335" s="8">
        <f t="shared" si="52"/>
        <v>1.9462039188934903E-6</v>
      </c>
      <c r="AC335" s="8">
        <v>1.2699558200000001</v>
      </c>
      <c r="AD335" s="18">
        <f t="shared" si="53"/>
        <v>1.6007032037506117E-4</v>
      </c>
      <c r="AE335" s="9">
        <v>41</v>
      </c>
      <c r="AF335" s="10">
        <v>44.3</v>
      </c>
      <c r="AG335" s="10">
        <v>45.2</v>
      </c>
      <c r="AH335" s="10">
        <v>54.8</v>
      </c>
      <c r="AI335" s="10">
        <v>30.5</v>
      </c>
      <c r="AJ335" s="10">
        <v>51.7</v>
      </c>
      <c r="AK335" s="11">
        <v>7933.7369790000002</v>
      </c>
      <c r="AL335" s="11">
        <v>59.025096499999997</v>
      </c>
      <c r="AM335" s="11">
        <v>1019.134896</v>
      </c>
      <c r="AN335" s="11">
        <v>21</v>
      </c>
      <c r="AO335" s="11">
        <v>69.7</v>
      </c>
      <c r="AP335" s="19">
        <v>2.1099780400000001</v>
      </c>
    </row>
    <row r="336" spans="2:42">
      <c r="B336" t="s">
        <v>74</v>
      </c>
      <c r="C336" t="s">
        <v>75</v>
      </c>
      <c r="D336" t="s">
        <v>76</v>
      </c>
      <c r="E336" t="s">
        <v>35</v>
      </c>
      <c r="F336" t="s">
        <v>36</v>
      </c>
      <c r="G336" t="s">
        <v>37</v>
      </c>
      <c r="H336" t="s">
        <v>38</v>
      </c>
      <c r="I336" t="s">
        <v>39</v>
      </c>
      <c r="J336" t="s">
        <v>40</v>
      </c>
      <c r="K336">
        <v>2015</v>
      </c>
      <c r="L336">
        <v>0.72462468561225002</v>
      </c>
      <c r="M336" s="7">
        <v>6.004291373</v>
      </c>
      <c r="N336" s="7">
        <f t="shared" si="45"/>
        <v>2.0202462827058332E-4</v>
      </c>
      <c r="O336" s="8">
        <v>0.94238179</v>
      </c>
      <c r="P336" s="8">
        <f t="shared" si="46"/>
        <v>3.1708043295472651E-5</v>
      </c>
      <c r="Q336" s="8">
        <v>0.13542095300000001</v>
      </c>
      <c r="R336" s="8">
        <f t="shared" si="47"/>
        <v>4.5564690302835409E-6</v>
      </c>
      <c r="S336" s="8">
        <v>5.2252893000000002E-2</v>
      </c>
      <c r="T336" s="8">
        <f t="shared" si="48"/>
        <v>1.7581377432576449E-6</v>
      </c>
      <c r="U336" s="8">
        <v>5.1480859999999996E-3</v>
      </c>
      <c r="V336" s="8">
        <f t="shared" si="49"/>
        <v>1.7321613756651282E-7</v>
      </c>
      <c r="W336" s="8">
        <v>2.1928076000000001E-2</v>
      </c>
      <c r="X336" s="8">
        <f t="shared" si="50"/>
        <v>5.8281525043406607E-12</v>
      </c>
      <c r="Y336" s="8"/>
      <c r="Z336" s="8">
        <f t="shared" si="51"/>
        <v>0</v>
      </c>
      <c r="AA336" s="8">
        <v>3.3934239999999999E-3</v>
      </c>
      <c r="AB336" s="8">
        <f t="shared" si="52"/>
        <v>1.141775406249053E-7</v>
      </c>
      <c r="AC336" s="8">
        <v>1.6352853780000001</v>
      </c>
      <c r="AD336" s="18">
        <f t="shared" si="53"/>
        <v>5.502196680400346E-5</v>
      </c>
      <c r="AE336" s="9">
        <v>88.6</v>
      </c>
      <c r="AF336" s="10">
        <v>81.900000000000006</v>
      </c>
      <c r="AG336" s="10">
        <v>65.2</v>
      </c>
      <c r="AH336" s="10">
        <v>93.3</v>
      </c>
      <c r="AI336" s="10">
        <v>87.1</v>
      </c>
      <c r="AJ336" s="10">
        <v>87.2</v>
      </c>
      <c r="AK336" s="11">
        <v>29720.591120000001</v>
      </c>
      <c r="AL336" s="11">
        <v>22.8433402</v>
      </c>
      <c r="AM336" s="11">
        <v>6481.6440839999996</v>
      </c>
      <c r="AN336" s="11">
        <v>28.2</v>
      </c>
      <c r="AO336" s="11">
        <v>68.415999999999997</v>
      </c>
      <c r="AP336" s="19">
        <v>-3.0691052000000001</v>
      </c>
    </row>
    <row r="337" spans="2:42">
      <c r="B337" t="s">
        <v>77</v>
      </c>
      <c r="C337" t="s">
        <v>78</v>
      </c>
      <c r="D337" t="s">
        <v>79</v>
      </c>
      <c r="E337" t="s">
        <v>35</v>
      </c>
      <c r="F337" t="s">
        <v>36</v>
      </c>
      <c r="G337" t="s">
        <v>37</v>
      </c>
      <c r="H337" t="s">
        <v>38</v>
      </c>
      <c r="I337" t="s">
        <v>39</v>
      </c>
      <c r="J337" t="s">
        <v>40</v>
      </c>
      <c r="K337">
        <v>2015</v>
      </c>
      <c r="L337">
        <v>0.23606216145894901</v>
      </c>
      <c r="M337" s="7">
        <v>14.278167740000001</v>
      </c>
      <c r="N337" s="7">
        <f t="shared" si="45"/>
        <v>3.3779112384602387E-4</v>
      </c>
      <c r="O337" s="8">
        <v>2.65767672</v>
      </c>
      <c r="P337" s="8">
        <f t="shared" si="46"/>
        <v>6.2874986652048848E-5</v>
      </c>
      <c r="Q337" s="8">
        <v>0.52595341799999995</v>
      </c>
      <c r="R337" s="8">
        <f t="shared" si="47"/>
        <v>1.2442940816499859E-5</v>
      </c>
      <c r="S337" s="8">
        <v>0.13318582800000001</v>
      </c>
      <c r="T337" s="8">
        <f t="shared" si="48"/>
        <v>3.1508938219325919E-6</v>
      </c>
      <c r="U337" s="8">
        <v>0.14115586199999999</v>
      </c>
      <c r="V337" s="8">
        <f t="shared" si="49"/>
        <v>3.3394478991065736E-6</v>
      </c>
      <c r="W337" s="8">
        <v>0.134650937</v>
      </c>
      <c r="X337" s="8">
        <f t="shared" si="50"/>
        <v>7.9004244760641318E-11</v>
      </c>
      <c r="Y337" s="8">
        <v>4.1373238999999999E-2</v>
      </c>
      <c r="Z337" s="8">
        <f t="shared" si="51"/>
        <v>9.7880296361892603E-7</v>
      </c>
      <c r="AA337" s="8">
        <v>2.4032253999999999E-2</v>
      </c>
      <c r="AB337" s="8">
        <f t="shared" si="52"/>
        <v>5.6855208840774567E-7</v>
      </c>
      <c r="AC337" s="8">
        <v>3.8983950599999999</v>
      </c>
      <c r="AD337" s="18">
        <f t="shared" si="53"/>
        <v>9.2227747459786296E-5</v>
      </c>
      <c r="AE337" s="9">
        <v>99.5</v>
      </c>
      <c r="AF337" s="10">
        <v>98.1</v>
      </c>
      <c r="AG337" s="10">
        <v>85.7</v>
      </c>
      <c r="AH337" s="10">
        <v>98.1</v>
      </c>
      <c r="AI337" s="10">
        <v>100</v>
      </c>
      <c r="AJ337" s="10">
        <v>96.6</v>
      </c>
      <c r="AK337" s="11">
        <v>42269.221219999999</v>
      </c>
      <c r="AL337" s="11">
        <v>7.4805041000000001</v>
      </c>
      <c r="AM337" s="11">
        <v>15056.21558</v>
      </c>
      <c r="AN337" s="11">
        <v>43.2</v>
      </c>
      <c r="AO337" s="11">
        <v>85.224999999999994</v>
      </c>
      <c r="AP337" s="19">
        <v>7.5380054300000001</v>
      </c>
    </row>
    <row r="338" spans="2:42">
      <c r="B338" t="s">
        <v>80</v>
      </c>
      <c r="C338" t="s">
        <v>81</v>
      </c>
      <c r="D338" t="s">
        <v>82</v>
      </c>
      <c r="E338" t="s">
        <v>35</v>
      </c>
      <c r="F338" t="s">
        <v>36</v>
      </c>
      <c r="G338" t="s">
        <v>37</v>
      </c>
      <c r="H338" t="s">
        <v>38</v>
      </c>
      <c r="I338" t="s">
        <v>39</v>
      </c>
      <c r="J338" t="s">
        <v>40</v>
      </c>
      <c r="K338">
        <v>2015</v>
      </c>
      <c r="L338">
        <v>1.00448865373139</v>
      </c>
      <c r="M338" s="7">
        <v>0.16430774300000001</v>
      </c>
      <c r="N338" s="7">
        <f t="shared" si="45"/>
        <v>4.0157229422091798E-6</v>
      </c>
      <c r="O338" s="8">
        <v>48.668980879999999</v>
      </c>
      <c r="P338" s="8">
        <f t="shared" si="46"/>
        <v>1.1894822454822224E-3</v>
      </c>
      <c r="Q338" s="8">
        <v>2.6107085310000002</v>
      </c>
      <c r="R338" s="8">
        <f t="shared" si="47"/>
        <v>6.380637912698933E-5</v>
      </c>
      <c r="S338" s="8">
        <v>3.2189409659999999</v>
      </c>
      <c r="T338" s="8">
        <f t="shared" si="48"/>
        <v>7.8671734215125688E-5</v>
      </c>
      <c r="U338" s="8">
        <v>0.10445885000000001</v>
      </c>
      <c r="V338" s="8">
        <f t="shared" si="49"/>
        <v>2.5530008069174647E-6</v>
      </c>
      <c r="W338" s="8">
        <v>0.173874636</v>
      </c>
      <c r="X338" s="8">
        <f t="shared" si="50"/>
        <v>6.2395987703494973E-11</v>
      </c>
      <c r="Y338" s="8">
        <v>6.0633138000000003E-2</v>
      </c>
      <c r="Z338" s="8">
        <f t="shared" si="51"/>
        <v>1.4818892821425661E-6</v>
      </c>
      <c r="AA338" s="8">
        <v>0.15806652800000001</v>
      </c>
      <c r="AB338" s="8">
        <f t="shared" si="52"/>
        <v>3.8631860635134507E-6</v>
      </c>
      <c r="AC338" s="8">
        <v>18.942667839999999</v>
      </c>
      <c r="AD338" s="18">
        <f t="shared" si="53"/>
        <v>4.629636098874294E-4</v>
      </c>
      <c r="AE338" s="9">
        <v>87.6</v>
      </c>
      <c r="AF338" s="10">
        <v>88.1</v>
      </c>
      <c r="AG338" s="10">
        <v>51.4</v>
      </c>
      <c r="AH338" s="10">
        <v>82.9</v>
      </c>
      <c r="AI338" s="10">
        <v>87.6</v>
      </c>
      <c r="AJ338" s="10">
        <v>89.7</v>
      </c>
      <c r="AK338" s="11">
        <v>40916.105360000001</v>
      </c>
      <c r="AL338" s="11">
        <v>52.4637618</v>
      </c>
      <c r="AM338" s="11">
        <v>7201.3590379999996</v>
      </c>
      <c r="AN338" s="11">
        <v>13.3</v>
      </c>
      <c r="AO338" s="11">
        <v>79.655000000000001</v>
      </c>
      <c r="AP338" s="19">
        <v>1.76596183</v>
      </c>
    </row>
    <row r="339" spans="2:42">
      <c r="B339" t="s">
        <v>83</v>
      </c>
      <c r="C339" t="s">
        <v>84</v>
      </c>
      <c r="D339" t="s">
        <v>85</v>
      </c>
      <c r="E339" t="s">
        <v>35</v>
      </c>
      <c r="F339" t="s">
        <v>36</v>
      </c>
      <c r="G339" t="s">
        <v>37</v>
      </c>
      <c r="H339" t="s">
        <v>38</v>
      </c>
      <c r="I339" t="s">
        <v>39</v>
      </c>
      <c r="J339" t="s">
        <v>40</v>
      </c>
      <c r="K339">
        <v>2015</v>
      </c>
      <c r="L339">
        <v>0.54015003927772498</v>
      </c>
      <c r="M339" s="7">
        <v>21.362419599999999</v>
      </c>
      <c r="N339" s="7">
        <f t="shared" si="45"/>
        <v>1.7410777461692316E-3</v>
      </c>
      <c r="O339" s="8">
        <v>2.3238619379999998</v>
      </c>
      <c r="P339" s="8">
        <f t="shared" si="46"/>
        <v>1.8939915895208344E-4</v>
      </c>
      <c r="Q339" s="8">
        <v>0.14502343400000001</v>
      </c>
      <c r="R339" s="8">
        <f t="shared" si="47"/>
        <v>1.18196851451435E-5</v>
      </c>
      <c r="S339" s="8">
        <v>0.121125867</v>
      </c>
      <c r="T339" s="8">
        <f t="shared" si="48"/>
        <v>9.8719880738207257E-6</v>
      </c>
      <c r="U339" s="8">
        <v>2.543072E-3</v>
      </c>
      <c r="V339" s="8">
        <f t="shared" si="49"/>
        <v>2.072651950955069E-7</v>
      </c>
      <c r="W339" s="8">
        <v>1.037453E-3</v>
      </c>
      <c r="X339" s="8">
        <f t="shared" si="50"/>
        <v>1.6892506817730108E-11</v>
      </c>
      <c r="Y339" s="8">
        <v>6.6928400000000002E-3</v>
      </c>
      <c r="Z339" s="8">
        <f t="shared" si="51"/>
        <v>5.4547916391789638E-7</v>
      </c>
      <c r="AA339" s="8">
        <v>2.7127720000000001E-2</v>
      </c>
      <c r="AB339" s="8">
        <f t="shared" si="52"/>
        <v>2.2109606720911892E-6</v>
      </c>
      <c r="AC339" s="8">
        <v>1.504747826</v>
      </c>
      <c r="AD339" s="18">
        <f t="shared" si="53"/>
        <v>1.2263980403442366E-4</v>
      </c>
      <c r="AE339" s="9">
        <v>75.2</v>
      </c>
      <c r="AF339" s="10">
        <v>64.3</v>
      </c>
      <c r="AG339" s="10">
        <v>29.5</v>
      </c>
      <c r="AH339" s="10">
        <v>74.8</v>
      </c>
      <c r="AI339" s="10">
        <v>61.9</v>
      </c>
      <c r="AJ339" s="10">
        <v>56.7</v>
      </c>
      <c r="AK339" s="11">
        <v>12269.652889999999</v>
      </c>
      <c r="AL339" s="11">
        <v>34.7978126</v>
      </c>
      <c r="AM339" s="11">
        <v>2727.5831370000001</v>
      </c>
      <c r="AN339" s="11">
        <v>27.5</v>
      </c>
      <c r="AO339" s="11">
        <v>57.448</v>
      </c>
      <c r="AP339" s="19">
        <v>11.398649199999999</v>
      </c>
    </row>
    <row r="340" spans="2:42">
      <c r="B340" t="s">
        <v>86</v>
      </c>
      <c r="C340" t="s">
        <v>87</v>
      </c>
      <c r="D340" t="s">
        <v>88</v>
      </c>
      <c r="E340" t="s">
        <v>35</v>
      </c>
      <c r="F340" t="s">
        <v>36</v>
      </c>
      <c r="G340" t="s">
        <v>37</v>
      </c>
      <c r="H340" t="s">
        <v>38</v>
      </c>
      <c r="I340" t="s">
        <v>39</v>
      </c>
      <c r="J340" t="s">
        <v>40</v>
      </c>
      <c r="K340">
        <v>2015</v>
      </c>
      <c r="L340">
        <v>0.555023164517643</v>
      </c>
      <c r="M340" s="7">
        <v>16.57053427</v>
      </c>
      <c r="N340" s="7">
        <f t="shared" si="45"/>
        <v>3.4124928938980217E-4</v>
      </c>
      <c r="O340" s="8">
        <v>39.62614911</v>
      </c>
      <c r="P340" s="8">
        <f t="shared" si="46"/>
        <v>8.1605064777684087E-4</v>
      </c>
      <c r="Q340" s="8">
        <v>3.104558591</v>
      </c>
      <c r="R340" s="8">
        <f t="shared" si="47"/>
        <v>6.3934475242949148E-5</v>
      </c>
      <c r="S340" s="8">
        <v>11.423509040000001</v>
      </c>
      <c r="T340" s="8">
        <f t="shared" si="48"/>
        <v>2.3525278537913922E-4</v>
      </c>
      <c r="U340" s="8">
        <v>0.20776850599999999</v>
      </c>
      <c r="V340" s="8">
        <f t="shared" si="49"/>
        <v>4.2787307804820012E-6</v>
      </c>
      <c r="W340" s="8">
        <v>0.44733741199999999</v>
      </c>
      <c r="X340" s="8">
        <f t="shared" si="50"/>
        <v>8.8115073089297347E-11</v>
      </c>
      <c r="Y340" s="8">
        <v>0.22863794600000001</v>
      </c>
      <c r="Z340" s="8">
        <f t="shared" si="51"/>
        <v>4.7085106206442167E-6</v>
      </c>
      <c r="AA340" s="8">
        <v>0.28494238100000002</v>
      </c>
      <c r="AB340" s="8">
        <f t="shared" si="52"/>
        <v>5.8680295667550785E-6</v>
      </c>
      <c r="AC340" s="8">
        <v>15.078419159999999</v>
      </c>
      <c r="AD340" s="18">
        <f t="shared" si="53"/>
        <v>3.1052105741618782E-4</v>
      </c>
      <c r="AE340" s="9">
        <v>93.3</v>
      </c>
      <c r="AF340" s="10">
        <v>92.9</v>
      </c>
      <c r="AG340" s="10">
        <v>68.099999999999994</v>
      </c>
      <c r="AH340" s="10">
        <v>94.3</v>
      </c>
      <c r="AI340" s="10">
        <v>93.3</v>
      </c>
      <c r="AJ340" s="10">
        <v>95.6</v>
      </c>
      <c r="AK340" s="11">
        <v>48558.443299999999</v>
      </c>
      <c r="AL340" s="11">
        <v>47.959066700000001</v>
      </c>
      <c r="AM340" s="11">
        <v>7032.0214409999999</v>
      </c>
      <c r="AN340" s="11">
        <v>14.6</v>
      </c>
      <c r="AO340" s="11">
        <v>77.2</v>
      </c>
      <c r="AP340" s="19">
        <v>1.82321442</v>
      </c>
    </row>
    <row r="341" spans="2:42">
      <c r="B341" t="s">
        <v>89</v>
      </c>
      <c r="C341" t="s">
        <v>90</v>
      </c>
      <c r="D341" t="s">
        <v>91</v>
      </c>
      <c r="E341" t="s">
        <v>35</v>
      </c>
      <c r="F341" t="s">
        <v>36</v>
      </c>
      <c r="G341" t="s">
        <v>37</v>
      </c>
      <c r="H341" t="s">
        <v>38</v>
      </c>
      <c r="I341" t="s">
        <v>39</v>
      </c>
      <c r="J341" t="s">
        <v>40</v>
      </c>
      <c r="K341">
        <v>2015</v>
      </c>
      <c r="L341">
        <v>1.4730479846231499</v>
      </c>
      <c r="M341" s="7">
        <v>0.60896720199999999</v>
      </c>
      <c r="N341" s="7">
        <f t="shared" si="45"/>
        <v>2.2880731586568596E-5</v>
      </c>
      <c r="O341" s="8">
        <v>4.557532503</v>
      </c>
      <c r="P341" s="8">
        <f t="shared" si="46"/>
        <v>1.7124022041864438E-4</v>
      </c>
      <c r="Q341" s="8">
        <v>0.314038439</v>
      </c>
      <c r="R341" s="8">
        <f t="shared" si="47"/>
        <v>1.1799369829812272E-5</v>
      </c>
      <c r="S341" s="8">
        <v>2.8132789859999998</v>
      </c>
      <c r="T341" s="8">
        <f t="shared" si="48"/>
        <v>1.0570336324418316E-4</v>
      </c>
      <c r="U341" s="8">
        <v>1.5119538E-2</v>
      </c>
      <c r="V341" s="8">
        <f t="shared" si="49"/>
        <v>5.6808657273290088E-7</v>
      </c>
      <c r="W341" s="8">
        <v>1.6374553E-2</v>
      </c>
      <c r="X341" s="8">
        <f t="shared" si="50"/>
        <v>2.1344723239520512E-11</v>
      </c>
      <c r="Y341" s="8">
        <v>2.9300039999999999E-3</v>
      </c>
      <c r="Z341" s="8">
        <f t="shared" si="51"/>
        <v>1.1008907351889261E-7</v>
      </c>
      <c r="AA341" s="8">
        <v>7.0137177999999994E-2</v>
      </c>
      <c r="AB341" s="8">
        <f t="shared" si="52"/>
        <v>2.635264984365092E-6</v>
      </c>
      <c r="AC341" s="8">
        <v>4.5307548649999996</v>
      </c>
      <c r="AD341" s="18">
        <f t="shared" si="53"/>
        <v>1.7023410392240604E-4</v>
      </c>
      <c r="AE341" s="9">
        <v>53.8</v>
      </c>
      <c r="AF341" s="10">
        <v>59</v>
      </c>
      <c r="AG341" s="10">
        <v>38.1</v>
      </c>
      <c r="AH341" s="10">
        <v>65.7</v>
      </c>
      <c r="AI341" s="10">
        <v>62.9</v>
      </c>
      <c r="AJ341" s="10">
        <v>70.400000000000006</v>
      </c>
      <c r="AK341" s="11">
        <v>26614.848379999999</v>
      </c>
      <c r="AL341" s="11">
        <v>48.091543799999997</v>
      </c>
      <c r="AM341" s="11">
        <v>5229.425362</v>
      </c>
      <c r="AN341" s="11">
        <v>17.5</v>
      </c>
      <c r="AO341" s="11">
        <v>78.046000000000006</v>
      </c>
      <c r="AP341" s="19">
        <v>0.65218463000000004</v>
      </c>
    </row>
    <row r="342" spans="2:42">
      <c r="B342" t="s">
        <v>92</v>
      </c>
      <c r="C342" t="s">
        <v>93</v>
      </c>
      <c r="D342" t="s">
        <v>94</v>
      </c>
      <c r="E342" t="s">
        <v>35</v>
      </c>
      <c r="F342" t="s">
        <v>36</v>
      </c>
      <c r="G342" t="s">
        <v>37</v>
      </c>
      <c r="H342" t="s">
        <v>38</v>
      </c>
      <c r="I342" t="s">
        <v>39</v>
      </c>
      <c r="J342" t="s">
        <v>40</v>
      </c>
      <c r="K342">
        <v>2015</v>
      </c>
      <c r="L342">
        <v>1.1902145995028299</v>
      </c>
      <c r="M342" s="7">
        <v>21.362419599999999</v>
      </c>
      <c r="N342" s="7">
        <f t="shared" si="45"/>
        <v>7.9281690462141663E-4</v>
      </c>
      <c r="O342" s="8">
        <v>3.425083119</v>
      </c>
      <c r="P342" s="8">
        <f t="shared" si="46"/>
        <v>1.2711405577281364E-4</v>
      </c>
      <c r="Q342" s="8">
        <v>0.69850738999999995</v>
      </c>
      <c r="R342" s="8">
        <f t="shared" si="47"/>
        <v>2.5923489808943956E-5</v>
      </c>
      <c r="S342" s="8">
        <v>2.1229587259999998</v>
      </c>
      <c r="T342" s="8">
        <f t="shared" si="48"/>
        <v>7.8788713886433819E-5</v>
      </c>
      <c r="U342" s="8">
        <v>1.0941576999999999E-2</v>
      </c>
      <c r="V342" s="8">
        <f t="shared" si="49"/>
        <v>4.0607138007985224E-7</v>
      </c>
      <c r="W342" s="8">
        <v>3.1679496000000001E-2</v>
      </c>
      <c r="X342" s="8">
        <f t="shared" si="50"/>
        <v>1.5070402165972587E-11</v>
      </c>
      <c r="Y342" s="8">
        <v>6.0878160000000002E-3</v>
      </c>
      <c r="Z342" s="8">
        <f t="shared" si="51"/>
        <v>2.259352417656254E-7</v>
      </c>
      <c r="AA342" s="8">
        <v>2.0781537999999999E-2</v>
      </c>
      <c r="AB342" s="8">
        <f t="shared" si="52"/>
        <v>7.7125882455900941E-7</v>
      </c>
      <c r="AC342" s="8">
        <v>3.1738817070000001</v>
      </c>
      <c r="AD342" s="18">
        <f t="shared" si="53"/>
        <v>1.1779129507306739E-4</v>
      </c>
      <c r="AE342" s="9">
        <v>60</v>
      </c>
      <c r="AF342" s="10">
        <v>71</v>
      </c>
      <c r="AG342" s="10">
        <v>69.5</v>
      </c>
      <c r="AH342" s="10">
        <v>74.3</v>
      </c>
      <c r="AI342" s="10">
        <v>64.8</v>
      </c>
      <c r="AJ342" s="10">
        <v>66.5</v>
      </c>
      <c r="AK342" s="11">
        <v>26944.959770000001</v>
      </c>
      <c r="AL342" s="11">
        <v>57.681350000000002</v>
      </c>
      <c r="AM342" s="11">
        <v>4118.3924280000001</v>
      </c>
      <c r="AN342" s="11">
        <v>15.6</v>
      </c>
      <c r="AO342" s="11">
        <v>70.5</v>
      </c>
      <c r="AP342" s="19">
        <v>-4.3672559</v>
      </c>
    </row>
    <row r="343" spans="2:42">
      <c r="B343" t="s">
        <v>95</v>
      </c>
      <c r="C343" t="s">
        <v>96</v>
      </c>
      <c r="D343" t="s">
        <v>97</v>
      </c>
      <c r="E343" t="s">
        <v>35</v>
      </c>
      <c r="F343" t="s">
        <v>36</v>
      </c>
      <c r="G343" t="s">
        <v>37</v>
      </c>
      <c r="H343" t="s">
        <v>38</v>
      </c>
      <c r="I343" t="s">
        <v>39</v>
      </c>
      <c r="J343" t="s">
        <v>40</v>
      </c>
      <c r="K343">
        <v>2015</v>
      </c>
      <c r="L343">
        <v>0.55450862844512905</v>
      </c>
      <c r="M343" s="7">
        <v>63.40829308</v>
      </c>
      <c r="N343" s="7">
        <f t="shared" si="45"/>
        <v>1.2884128872061341E-3</v>
      </c>
      <c r="O343" s="8">
        <v>0.324668497</v>
      </c>
      <c r="P343" s="8">
        <f t="shared" si="46"/>
        <v>6.5970404703511402E-6</v>
      </c>
      <c r="Q343" s="8">
        <v>1.7752880000000001E-3</v>
      </c>
      <c r="R343" s="8">
        <f t="shared" si="47"/>
        <v>3.60726306701963E-8</v>
      </c>
      <c r="S343" s="8"/>
      <c r="T343" s="8">
        <f t="shared" si="48"/>
        <v>0</v>
      </c>
      <c r="U343" s="8">
        <v>1.6239589999999999E-3</v>
      </c>
      <c r="V343" s="8">
        <f t="shared" si="49"/>
        <v>3.2997729512361546E-8</v>
      </c>
      <c r="W343" s="14">
        <v>7.1569199999999997E-6</v>
      </c>
      <c r="X343" s="8">
        <f t="shared" si="50"/>
        <v>6.7049115954957991E-13</v>
      </c>
      <c r="Y343" s="8">
        <v>3.7440479999999998E-3</v>
      </c>
      <c r="Z343" s="8">
        <f t="shared" si="51"/>
        <v>7.6076479261667459E-8</v>
      </c>
      <c r="AA343" s="8">
        <v>2.3791929999999999E-3</v>
      </c>
      <c r="AB343" s="8">
        <f t="shared" si="52"/>
        <v>4.8343564752376141E-8</v>
      </c>
      <c r="AC343" s="8">
        <v>0.25179386500000001</v>
      </c>
      <c r="AD343" s="18">
        <f t="shared" si="53"/>
        <v>5.1162780896205381E-6</v>
      </c>
      <c r="AE343" s="9">
        <v>95.7</v>
      </c>
      <c r="AF343" s="10">
        <v>89.5</v>
      </c>
      <c r="AG343" s="10">
        <v>94.8</v>
      </c>
      <c r="AH343" s="10">
        <v>86.2</v>
      </c>
      <c r="AI343" s="10">
        <v>91</v>
      </c>
      <c r="AJ343" s="10">
        <v>93.6</v>
      </c>
      <c r="AK343" s="11">
        <v>49214.264860000003</v>
      </c>
      <c r="AL343" s="11">
        <v>18.673316700000001</v>
      </c>
      <c r="AM343" s="11">
        <v>55085.168449999997</v>
      </c>
      <c r="AN343" s="11">
        <v>78</v>
      </c>
      <c r="AO343" s="11">
        <v>93.7</v>
      </c>
      <c r="AP343" s="19">
        <v>6.54080993</v>
      </c>
    </row>
    <row r="344" spans="2:42">
      <c r="B344" t="s">
        <v>98</v>
      </c>
      <c r="C344" t="s">
        <v>99</v>
      </c>
      <c r="D344" t="s">
        <v>100</v>
      </c>
      <c r="E344" t="s">
        <v>35</v>
      </c>
      <c r="F344" t="s">
        <v>36</v>
      </c>
      <c r="G344" t="s">
        <v>37</v>
      </c>
      <c r="H344" t="s">
        <v>38</v>
      </c>
      <c r="I344" t="s">
        <v>39</v>
      </c>
      <c r="J344" t="s">
        <v>40</v>
      </c>
      <c r="K344">
        <v>2015</v>
      </c>
      <c r="L344">
        <v>0.21211366295017201</v>
      </c>
      <c r="M344" s="7">
        <v>3302.4875520000001</v>
      </c>
      <c r="N344" s="7">
        <f t="shared" si="45"/>
        <v>0.32934183670401307</v>
      </c>
      <c r="O344" s="8">
        <v>115.451635</v>
      </c>
      <c r="P344" s="8">
        <f t="shared" si="46"/>
        <v>1.1513458543804169E-2</v>
      </c>
      <c r="Q344" s="8">
        <v>10.140692530000001</v>
      </c>
      <c r="R344" s="8">
        <f t="shared" si="47"/>
        <v>1.0112844486751499E-3</v>
      </c>
      <c r="S344" s="8">
        <v>144.64459149999999</v>
      </c>
      <c r="T344" s="8">
        <f t="shared" si="48"/>
        <v>1.4424737318105015E-2</v>
      </c>
      <c r="U344" s="8">
        <v>0.47321081799999998</v>
      </c>
      <c r="V344" s="8">
        <f t="shared" si="49"/>
        <v>4.7191130169119389E-5</v>
      </c>
      <c r="W344" s="8">
        <v>0.10355455700000001</v>
      </c>
      <c r="X344" s="8">
        <f t="shared" si="50"/>
        <v>4.7061535407222457E-9</v>
      </c>
      <c r="Y344" s="8">
        <v>6.7621323999999997E-2</v>
      </c>
      <c r="Z344" s="8">
        <f t="shared" si="51"/>
        <v>6.7435624497751806E-6</v>
      </c>
      <c r="AA344" s="8">
        <v>0.70877192200000005</v>
      </c>
      <c r="AB344" s="8">
        <f t="shared" si="52"/>
        <v>7.0682551537355051E-5</v>
      </c>
      <c r="AC344" s="8">
        <v>42.096578469999997</v>
      </c>
      <c r="AD344" s="18">
        <f t="shared" si="53"/>
        <v>4.1980974201910968E-3</v>
      </c>
      <c r="AE344" s="9">
        <v>36.700000000000003</v>
      </c>
      <c r="AF344" s="10">
        <v>42.9</v>
      </c>
      <c r="AG344" s="10">
        <v>24.3</v>
      </c>
      <c r="AH344" s="10">
        <v>48.1</v>
      </c>
      <c r="AI344" s="10">
        <v>39.5</v>
      </c>
      <c r="AJ344" s="10">
        <v>53.7</v>
      </c>
      <c r="AK344" s="11">
        <v>10027.5373</v>
      </c>
      <c r="AL344" s="11">
        <v>27.664700100000001</v>
      </c>
      <c r="AM344" s="11">
        <v>809.55159649999996</v>
      </c>
      <c r="AN344" s="11">
        <v>26.6</v>
      </c>
      <c r="AO344" s="11">
        <v>53.313000000000002</v>
      </c>
      <c r="AP344" s="19">
        <v>2.29761639</v>
      </c>
    </row>
    <row r="345" spans="2:42">
      <c r="B345" t="s">
        <v>101</v>
      </c>
      <c r="C345" t="s">
        <v>102</v>
      </c>
      <c r="D345" t="s">
        <v>103</v>
      </c>
      <c r="E345" t="s">
        <v>35</v>
      </c>
      <c r="F345" t="s">
        <v>36</v>
      </c>
      <c r="G345" t="s">
        <v>37</v>
      </c>
      <c r="H345" t="s">
        <v>38</v>
      </c>
      <c r="I345" t="s">
        <v>39</v>
      </c>
      <c r="J345" t="s">
        <v>40</v>
      </c>
      <c r="K345">
        <v>2015</v>
      </c>
      <c r="L345">
        <v>0.454149428084692</v>
      </c>
      <c r="M345" s="7">
        <v>64.994383780000007</v>
      </c>
      <c r="N345" s="7">
        <f t="shared" si="45"/>
        <v>9.0764826258667749E-4</v>
      </c>
      <c r="O345" s="8">
        <v>16.39629708</v>
      </c>
      <c r="P345" s="8">
        <f t="shared" si="46"/>
        <v>2.289747158445482E-4</v>
      </c>
      <c r="Q345" s="8">
        <v>0.19809090300000001</v>
      </c>
      <c r="R345" s="8">
        <f t="shared" si="47"/>
        <v>2.7663446206486372E-6</v>
      </c>
      <c r="S345" s="8">
        <v>1.1403676979999999</v>
      </c>
      <c r="T345" s="8">
        <f t="shared" si="48"/>
        <v>1.5925264609065715E-5</v>
      </c>
      <c r="U345" s="8">
        <v>1.0970275E-2</v>
      </c>
      <c r="V345" s="8">
        <f t="shared" si="49"/>
        <v>1.5320017614986705E-7</v>
      </c>
      <c r="W345" s="8">
        <v>1.4763923E-2</v>
      </c>
      <c r="X345" s="8">
        <f t="shared" si="50"/>
        <v>2.1394444507863561E-12</v>
      </c>
      <c r="Y345" s="8"/>
      <c r="Z345" s="8">
        <f t="shared" si="51"/>
        <v>0</v>
      </c>
      <c r="AA345" s="8">
        <v>1.206636E-2</v>
      </c>
      <c r="AB345" s="8">
        <f t="shared" si="52"/>
        <v>1.685070317278017E-7</v>
      </c>
      <c r="AC345" s="8">
        <v>0.94207643399999996</v>
      </c>
      <c r="AD345" s="18">
        <f t="shared" si="53"/>
        <v>1.3156121941832688E-5</v>
      </c>
      <c r="AE345" s="9">
        <v>92.4</v>
      </c>
      <c r="AF345" s="10">
        <v>91</v>
      </c>
      <c r="AG345" s="10">
        <v>77.599999999999994</v>
      </c>
      <c r="AH345" s="10">
        <v>97.6</v>
      </c>
      <c r="AI345" s="10">
        <v>92.9</v>
      </c>
      <c r="AJ345" s="10">
        <v>92.6</v>
      </c>
      <c r="AK345" s="11">
        <v>71607.456829999996</v>
      </c>
      <c r="AL345" s="11">
        <v>64.305414400000004</v>
      </c>
      <c r="AM345" s="11">
        <v>5737.8236340000003</v>
      </c>
      <c r="AN345" s="11">
        <v>9.5</v>
      </c>
      <c r="AO345" s="11">
        <v>62.537999999999997</v>
      </c>
      <c r="AP345" s="19">
        <v>74.745165200000002</v>
      </c>
    </row>
    <row r="346" spans="2:42">
      <c r="B346" t="s">
        <v>104</v>
      </c>
      <c r="C346" t="s">
        <v>105</v>
      </c>
      <c r="D346" t="s">
        <v>106</v>
      </c>
      <c r="E346" t="s">
        <v>35</v>
      </c>
      <c r="F346" t="s">
        <v>36</v>
      </c>
      <c r="G346" t="s">
        <v>37</v>
      </c>
      <c r="H346" t="s">
        <v>38</v>
      </c>
      <c r="I346" t="s">
        <v>39</v>
      </c>
      <c r="J346" t="s">
        <v>40</v>
      </c>
      <c r="K346">
        <v>2015</v>
      </c>
      <c r="L346">
        <v>0.56260427290534898</v>
      </c>
      <c r="M346" s="7">
        <v>4.8321942489999996</v>
      </c>
      <c r="N346" s="7">
        <f t="shared" si="45"/>
        <v>1.3471794028729282E-4</v>
      </c>
      <c r="O346" s="8">
        <v>1.827864844</v>
      </c>
      <c r="P346" s="8">
        <f t="shared" si="46"/>
        <v>5.0959496704461603E-5</v>
      </c>
      <c r="Q346" s="8">
        <v>1.0582638E-2</v>
      </c>
      <c r="R346" s="8">
        <f t="shared" si="47"/>
        <v>2.9503598586937436E-7</v>
      </c>
      <c r="S346" s="8">
        <v>0.29604344199999999</v>
      </c>
      <c r="T346" s="8">
        <f t="shared" si="48"/>
        <v>8.2534684424273928E-6</v>
      </c>
      <c r="U346" s="8">
        <v>3.9622670000000002E-3</v>
      </c>
      <c r="V346" s="8">
        <f t="shared" si="49"/>
        <v>1.1046502305216227E-7</v>
      </c>
      <c r="W346" s="8">
        <v>2.8760392999999999E-2</v>
      </c>
      <c r="X346" s="8">
        <f t="shared" si="50"/>
        <v>3.0796817372263759E-12</v>
      </c>
      <c r="Y346" s="8">
        <v>1.848E-3</v>
      </c>
      <c r="Z346" s="8">
        <f t="shared" si="51"/>
        <v>5.1520849705584166E-8</v>
      </c>
      <c r="AA346" s="8">
        <v>4.8754097000000003E-2</v>
      </c>
      <c r="AB346" s="8">
        <f t="shared" si="52"/>
        <v>1.3592275454915973E-6</v>
      </c>
      <c r="AC346" s="8">
        <v>5.7800696289999998</v>
      </c>
      <c r="AD346" s="18">
        <f t="shared" si="53"/>
        <v>1.6114399277246787E-4</v>
      </c>
      <c r="AE346" s="9">
        <v>78.599999999999994</v>
      </c>
      <c r="AF346" s="10">
        <v>86.7</v>
      </c>
      <c r="AG346" s="10">
        <v>11.4</v>
      </c>
      <c r="AH346" s="10">
        <v>85.7</v>
      </c>
      <c r="AI346" s="10">
        <v>84.3</v>
      </c>
      <c r="AJ346" s="10">
        <v>71.900000000000006</v>
      </c>
      <c r="AK346" s="11">
        <v>35868.973639999997</v>
      </c>
      <c r="AL346" s="11">
        <v>24.6719039</v>
      </c>
      <c r="AM346" s="11">
        <v>6748.9648090000001</v>
      </c>
      <c r="AN346" s="11">
        <v>3.7</v>
      </c>
      <c r="AO346" s="11">
        <v>92.179000000000002</v>
      </c>
      <c r="AP346" s="19">
        <v>3.7355327200000001</v>
      </c>
    </row>
    <row r="347" spans="2:42">
      <c r="B347" t="s">
        <v>107</v>
      </c>
      <c r="C347" t="s">
        <v>108</v>
      </c>
      <c r="D347" t="s">
        <v>109</v>
      </c>
      <c r="E347" t="s">
        <v>35</v>
      </c>
      <c r="F347" t="s">
        <v>36</v>
      </c>
      <c r="G347" t="s">
        <v>37</v>
      </c>
      <c r="H347" t="s">
        <v>38</v>
      </c>
      <c r="I347" t="s">
        <v>39</v>
      </c>
      <c r="J347" t="s">
        <v>40</v>
      </c>
      <c r="K347">
        <v>2015</v>
      </c>
      <c r="L347">
        <v>0.90228380015162901</v>
      </c>
      <c r="M347" s="7">
        <v>82.364819830000002</v>
      </c>
      <c r="N347" s="7">
        <f t="shared" si="45"/>
        <v>2.2025945593776358E-3</v>
      </c>
      <c r="O347" s="8">
        <v>21.39143713</v>
      </c>
      <c r="P347" s="8">
        <f t="shared" si="46"/>
        <v>5.7204839562637272E-4</v>
      </c>
      <c r="Q347" s="8">
        <v>2.4361972810000001</v>
      </c>
      <c r="R347" s="8">
        <f t="shared" si="47"/>
        <v>6.5148626413272755E-5</v>
      </c>
      <c r="S347" s="8">
        <v>4.6303412149999996</v>
      </c>
      <c r="T347" s="8">
        <f t="shared" si="48"/>
        <v>1.2382427824490064E-4</v>
      </c>
      <c r="U347" s="8">
        <v>5.2796851999999998E-2</v>
      </c>
      <c r="V347" s="8">
        <f t="shared" si="49"/>
        <v>1.4118899210547359E-6</v>
      </c>
      <c r="W347" s="8">
        <v>0.228744207</v>
      </c>
      <c r="X347" s="8">
        <f t="shared" si="50"/>
        <v>3.7756666802330345E-11</v>
      </c>
      <c r="Y347" s="8">
        <v>3.7381017000000002E-2</v>
      </c>
      <c r="Z347" s="8">
        <f t="shared" si="51"/>
        <v>9.996406820064905E-7</v>
      </c>
      <c r="AA347" s="8">
        <v>0.40553046799999998</v>
      </c>
      <c r="AB347" s="8">
        <f t="shared" si="52"/>
        <v>1.0844668929310598E-5</v>
      </c>
      <c r="AC347" s="8">
        <v>14.923302980000001</v>
      </c>
      <c r="AD347" s="18">
        <f t="shared" si="53"/>
        <v>3.9907798037481682E-4</v>
      </c>
      <c r="AE347" s="9">
        <v>57.1</v>
      </c>
      <c r="AF347" s="10">
        <v>70.5</v>
      </c>
      <c r="AG347" s="10">
        <v>58.6</v>
      </c>
      <c r="AH347" s="10">
        <v>73.8</v>
      </c>
      <c r="AI347" s="10">
        <v>63.3</v>
      </c>
      <c r="AJ347" s="10">
        <v>81.3</v>
      </c>
      <c r="AK347" s="11">
        <v>37394.453500000003</v>
      </c>
      <c r="AL347" s="11">
        <v>43.774812500000003</v>
      </c>
      <c r="AM347" s="11">
        <v>5141.2258140000004</v>
      </c>
      <c r="AN347" s="11">
        <v>16.600000000000001</v>
      </c>
      <c r="AO347" s="11">
        <v>69.564999999999998</v>
      </c>
      <c r="AP347" s="19">
        <v>0.72088637</v>
      </c>
    </row>
    <row r="348" spans="2:42">
      <c r="B348" t="s">
        <v>110</v>
      </c>
      <c r="C348" t="s">
        <v>111</v>
      </c>
      <c r="D348" t="s">
        <v>112</v>
      </c>
      <c r="E348" t="s">
        <v>35</v>
      </c>
      <c r="F348" t="s">
        <v>36</v>
      </c>
      <c r="G348" t="s">
        <v>37</v>
      </c>
      <c r="H348" t="s">
        <v>38</v>
      </c>
      <c r="I348" t="s">
        <v>39</v>
      </c>
      <c r="J348" t="s">
        <v>40</v>
      </c>
      <c r="K348">
        <v>2015</v>
      </c>
      <c r="L348">
        <v>1.13236696012488</v>
      </c>
      <c r="M348" s="7">
        <v>1.406990352</v>
      </c>
      <c r="N348" s="7">
        <f t="shared" si="45"/>
        <v>3.4395196344010893E-5</v>
      </c>
      <c r="O348" s="8">
        <v>45.222291339999998</v>
      </c>
      <c r="P348" s="8">
        <f t="shared" si="46"/>
        <v>1.1055012477906199E-3</v>
      </c>
      <c r="Q348" s="8">
        <v>1.1286968509999999</v>
      </c>
      <c r="R348" s="8">
        <f t="shared" si="47"/>
        <v>2.7592051180612367E-5</v>
      </c>
      <c r="S348" s="8">
        <v>4.230011577</v>
      </c>
      <c r="T348" s="8">
        <f t="shared" si="48"/>
        <v>1.0340659303138858E-4</v>
      </c>
      <c r="U348" s="8">
        <v>0.36106638000000002</v>
      </c>
      <c r="V348" s="8">
        <f t="shared" si="49"/>
        <v>8.8266056804640044E-6</v>
      </c>
      <c r="W348" s="8">
        <v>0.60263436400000003</v>
      </c>
      <c r="X348" s="8">
        <f t="shared" si="50"/>
        <v>2.1577463910763286E-10</v>
      </c>
      <c r="Y348" s="8">
        <v>0.32596525300000001</v>
      </c>
      <c r="Z348" s="8">
        <f t="shared" si="51"/>
        <v>7.9685257701469925E-6</v>
      </c>
      <c r="AA348" s="8">
        <v>0.65614030099999998</v>
      </c>
      <c r="AB348" s="8">
        <f t="shared" si="52"/>
        <v>1.6039963920174348E-5</v>
      </c>
      <c r="AC348" s="8">
        <v>7.9214900760000004</v>
      </c>
      <c r="AD348" s="18">
        <f t="shared" si="53"/>
        <v>1.936482408097947E-4</v>
      </c>
      <c r="AE348" s="9">
        <v>91.4</v>
      </c>
      <c r="AF348" s="10">
        <v>96.2</v>
      </c>
      <c r="AG348" s="10">
        <v>87.6</v>
      </c>
      <c r="AH348" s="10">
        <v>84.8</v>
      </c>
      <c r="AI348" s="10">
        <v>88.6</v>
      </c>
      <c r="AJ348" s="10">
        <v>78.8</v>
      </c>
      <c r="AK348" s="11">
        <v>40906.594570000001</v>
      </c>
      <c r="AL348" s="11">
        <v>13.2949246</v>
      </c>
      <c r="AM348" s="11">
        <v>8007.1023510000005</v>
      </c>
      <c r="AN348" s="11">
        <v>6.2</v>
      </c>
      <c r="AO348" s="11">
        <v>91.381</v>
      </c>
      <c r="AP348" s="19">
        <v>0.11816198999999999</v>
      </c>
    </row>
    <row r="349" spans="2:42">
      <c r="B349" t="s">
        <v>113</v>
      </c>
      <c r="C349" t="s">
        <v>114</v>
      </c>
      <c r="D349" t="s">
        <v>115</v>
      </c>
      <c r="E349" t="s">
        <v>35</v>
      </c>
      <c r="F349" t="s">
        <v>36</v>
      </c>
      <c r="G349" t="s">
        <v>37</v>
      </c>
      <c r="H349" t="s">
        <v>38</v>
      </c>
      <c r="I349" t="s">
        <v>39</v>
      </c>
      <c r="J349" t="s">
        <v>40</v>
      </c>
      <c r="K349">
        <v>2015</v>
      </c>
      <c r="L349">
        <v>0.65857142357157095</v>
      </c>
      <c r="M349" s="7">
        <v>22.39781052</v>
      </c>
      <c r="N349" s="7">
        <f t="shared" si="45"/>
        <v>9.2791139169490255E-4</v>
      </c>
      <c r="O349" s="8">
        <v>1.2795229319999999</v>
      </c>
      <c r="P349" s="8">
        <f t="shared" si="46"/>
        <v>5.3008927076933862E-5</v>
      </c>
      <c r="Q349" s="8">
        <v>0.19995622299999999</v>
      </c>
      <c r="R349" s="8">
        <f t="shared" si="47"/>
        <v>8.2839194034750802E-6</v>
      </c>
      <c r="S349" s="8">
        <v>0.15970472299999999</v>
      </c>
      <c r="T349" s="8">
        <f t="shared" si="48"/>
        <v>6.6163534889649964E-6</v>
      </c>
      <c r="U349" s="8">
        <v>1.5123668999999999E-2</v>
      </c>
      <c r="V349" s="8">
        <f t="shared" si="49"/>
        <v>6.2655341854919199E-7</v>
      </c>
      <c r="W349" s="8">
        <v>1.5233343E-2</v>
      </c>
      <c r="X349" s="8">
        <f t="shared" si="50"/>
        <v>2.5957271763596449E-11</v>
      </c>
      <c r="Y349" s="8"/>
      <c r="Z349" s="8">
        <f t="shared" si="51"/>
        <v>0</v>
      </c>
      <c r="AA349" s="8">
        <v>8.5329340000000007E-3</v>
      </c>
      <c r="AB349" s="8">
        <f t="shared" si="52"/>
        <v>3.5350806526872752E-7</v>
      </c>
      <c r="AC349" s="8">
        <v>0.77128739499999999</v>
      </c>
      <c r="AD349" s="18">
        <f t="shared" si="53"/>
        <v>3.195340720701775E-5</v>
      </c>
      <c r="AE349" s="9">
        <v>65.2</v>
      </c>
      <c r="AF349" s="10">
        <v>82.4</v>
      </c>
      <c r="AG349" s="10">
        <v>60.5</v>
      </c>
      <c r="AH349" s="10">
        <v>81</v>
      </c>
      <c r="AI349" s="10">
        <v>75.2</v>
      </c>
      <c r="AJ349" s="10">
        <v>73.400000000000006</v>
      </c>
      <c r="AK349" s="11">
        <v>24137.87644</v>
      </c>
      <c r="AL349" s="11">
        <v>30.284281700000001</v>
      </c>
      <c r="AM349" s="11">
        <v>3491.2291970000001</v>
      </c>
      <c r="AN349" s="11">
        <v>38.1</v>
      </c>
      <c r="AO349" s="11">
        <v>67.98</v>
      </c>
      <c r="AP349" s="19">
        <v>3.08543258</v>
      </c>
    </row>
    <row r="350" spans="2:42">
      <c r="B350" t="s">
        <v>116</v>
      </c>
      <c r="C350" t="s">
        <v>117</v>
      </c>
      <c r="D350" t="s">
        <v>118</v>
      </c>
      <c r="E350" t="s">
        <v>35</v>
      </c>
      <c r="F350" t="s">
        <v>36</v>
      </c>
      <c r="G350" t="s">
        <v>37</v>
      </c>
      <c r="H350" t="s">
        <v>38</v>
      </c>
      <c r="I350" t="s">
        <v>39</v>
      </c>
      <c r="J350" t="s">
        <v>40</v>
      </c>
      <c r="K350">
        <v>2015</v>
      </c>
      <c r="L350">
        <v>0.614635687642754</v>
      </c>
      <c r="M350" s="7">
        <v>71.917046170000006</v>
      </c>
      <c r="N350" s="7">
        <f t="shared" si="45"/>
        <v>2.4924465066831474E-3</v>
      </c>
      <c r="O350" s="8">
        <v>2.4536522239999998</v>
      </c>
      <c r="P350" s="8">
        <f t="shared" si="46"/>
        <v>8.5036820058875532E-5</v>
      </c>
      <c r="Q350" s="8">
        <v>0.207362133</v>
      </c>
      <c r="R350" s="8">
        <f t="shared" si="47"/>
        <v>7.1865997220254876E-6</v>
      </c>
      <c r="S350" s="8">
        <v>0.255259552</v>
      </c>
      <c r="T350" s="8">
        <f t="shared" si="48"/>
        <v>8.8465921858912896E-6</v>
      </c>
      <c r="U350" s="8">
        <v>4.6114909999999997E-3</v>
      </c>
      <c r="V350" s="8">
        <f t="shared" si="49"/>
        <v>1.59821561725173E-7</v>
      </c>
      <c r="W350" s="8">
        <v>2.3129857E-2</v>
      </c>
      <c r="X350" s="8">
        <f t="shared" si="50"/>
        <v>5.538974616295095E-12</v>
      </c>
      <c r="Y350" s="8">
        <v>3.6064000000000001E-3</v>
      </c>
      <c r="Z350" s="8">
        <f t="shared" si="51"/>
        <v>1.2498787923594862E-7</v>
      </c>
      <c r="AA350" s="8">
        <v>1.6584040000000001E-2</v>
      </c>
      <c r="AB350" s="8">
        <f t="shared" si="52"/>
        <v>5.7475709537603751E-7</v>
      </c>
      <c r="AC350" s="8">
        <v>1.369809506</v>
      </c>
      <c r="AD350" s="18">
        <f t="shared" si="53"/>
        <v>4.7473820184167711E-5</v>
      </c>
      <c r="AE350" s="9">
        <v>70</v>
      </c>
      <c r="AF350" s="10">
        <v>84.3</v>
      </c>
      <c r="AG350" s="10">
        <v>70.5</v>
      </c>
      <c r="AH350" s="10">
        <v>86.7</v>
      </c>
      <c r="AI350" s="10">
        <v>80.5</v>
      </c>
      <c r="AJ350" s="10">
        <v>77.3</v>
      </c>
      <c r="AK350" s="11">
        <v>28853.997859999999</v>
      </c>
      <c r="AL350" s="11">
        <v>47.979249799999998</v>
      </c>
      <c r="AM350" s="11">
        <v>3898.1707660000002</v>
      </c>
      <c r="AN350" s="11">
        <v>29</v>
      </c>
      <c r="AO350" s="11">
        <v>67.23</v>
      </c>
      <c r="AP350" s="19">
        <v>2.4962211600000002</v>
      </c>
    </row>
    <row r="351" spans="2:42">
      <c r="B351" t="s">
        <v>119</v>
      </c>
      <c r="C351" t="s">
        <v>120</v>
      </c>
      <c r="D351" t="s">
        <v>121</v>
      </c>
      <c r="E351" t="s">
        <v>35</v>
      </c>
      <c r="F351" t="s">
        <v>36</v>
      </c>
      <c r="G351" t="s">
        <v>37</v>
      </c>
      <c r="H351" t="s">
        <v>38</v>
      </c>
      <c r="I351" t="s">
        <v>39</v>
      </c>
      <c r="J351" t="s">
        <v>40</v>
      </c>
      <c r="K351">
        <v>2015</v>
      </c>
      <c r="L351">
        <v>0.78026094151718395</v>
      </c>
      <c r="M351" s="7">
        <v>11.96364969</v>
      </c>
      <c r="N351" s="7">
        <f t="shared" si="45"/>
        <v>1.1088893622867498E-4</v>
      </c>
      <c r="O351" s="8">
        <v>0.50180256400000001</v>
      </c>
      <c r="P351" s="8">
        <f t="shared" si="46"/>
        <v>4.651118509871848E-6</v>
      </c>
      <c r="Q351" s="8">
        <v>1.1209673E-2</v>
      </c>
      <c r="R351" s="8">
        <f t="shared" si="47"/>
        <v>1.0390046069973983E-7</v>
      </c>
      <c r="S351" s="8">
        <v>2.4777611000000001E-2</v>
      </c>
      <c r="T351" s="8">
        <f t="shared" si="48"/>
        <v>2.2965925927892291E-7</v>
      </c>
      <c r="U351" s="8">
        <v>2.274107E-3</v>
      </c>
      <c r="V351" s="8">
        <f t="shared" si="49"/>
        <v>2.1078292380206209E-8</v>
      </c>
      <c r="W351" s="8">
        <v>2.5275609999999998E-3</v>
      </c>
      <c r="X351" s="8">
        <f t="shared" si="50"/>
        <v>1.9537093446590645E-13</v>
      </c>
      <c r="Y351" s="8"/>
      <c r="Z351" s="8">
        <f t="shared" si="51"/>
        <v>0</v>
      </c>
      <c r="AA351" s="8">
        <v>4.4322199999999997E-3</v>
      </c>
      <c r="AB351" s="8">
        <f t="shared" si="52"/>
        <v>4.1081457052547462E-8</v>
      </c>
      <c r="AC351" s="8">
        <v>5.8437085E-2</v>
      </c>
      <c r="AD351" s="18">
        <f t="shared" si="53"/>
        <v>5.4164292334395984E-7</v>
      </c>
      <c r="AE351" s="9">
        <v>97.1</v>
      </c>
      <c r="AF351" s="10">
        <v>93.8</v>
      </c>
      <c r="AG351" s="10">
        <v>98.1</v>
      </c>
      <c r="AH351" s="10">
        <v>92.9</v>
      </c>
      <c r="AI351" s="10">
        <v>96.7</v>
      </c>
      <c r="AJ351" s="10">
        <v>97</v>
      </c>
      <c r="AK351" s="11">
        <v>107888.5784</v>
      </c>
      <c r="AL351" s="11">
        <v>50.989333700000003</v>
      </c>
      <c r="AM351" s="11">
        <v>14410.01117</v>
      </c>
      <c r="AN351" s="11">
        <v>9.1</v>
      </c>
      <c r="AO351" s="11">
        <v>90.179000000000002</v>
      </c>
      <c r="AP351" s="19">
        <v>75.630024000000006</v>
      </c>
    </row>
    <row r="352" spans="2:42">
      <c r="B352" t="s">
        <v>122</v>
      </c>
      <c r="C352" t="s">
        <v>123</v>
      </c>
      <c r="D352" t="s">
        <v>124</v>
      </c>
      <c r="E352" t="s">
        <v>35</v>
      </c>
      <c r="F352" t="s">
        <v>36</v>
      </c>
      <c r="G352" t="s">
        <v>37</v>
      </c>
      <c r="H352" t="s">
        <v>38</v>
      </c>
      <c r="I352" t="s">
        <v>39</v>
      </c>
      <c r="J352" t="s">
        <v>40</v>
      </c>
      <c r="K352">
        <v>2015</v>
      </c>
      <c r="L352">
        <v>1.8674743990773</v>
      </c>
      <c r="M352" s="7">
        <v>9.0153254000000002E-2</v>
      </c>
      <c r="N352" s="7">
        <f t="shared" si="45"/>
        <v>2.3490249605094952E-6</v>
      </c>
      <c r="O352" s="8">
        <v>5.5716307999999999E-2</v>
      </c>
      <c r="P352" s="8">
        <f t="shared" si="46"/>
        <v>1.451739037610721E-6</v>
      </c>
      <c r="Q352" s="8">
        <v>9.3731499999999998E-4</v>
      </c>
      <c r="R352" s="8">
        <f t="shared" si="47"/>
        <v>2.4422594118011065E-8</v>
      </c>
      <c r="S352" s="15">
        <v>5.49E-5</v>
      </c>
      <c r="T352" s="8">
        <f t="shared" si="48"/>
        <v>1.4304693908438546E-9</v>
      </c>
      <c r="U352" s="14">
        <v>6.6039399999999997E-5</v>
      </c>
      <c r="V352" s="8">
        <f t="shared" si="49"/>
        <v>1.7207165808687366E-9</v>
      </c>
      <c r="W352" s="8">
        <v>7.2398999999999999E-4</v>
      </c>
      <c r="X352" s="8">
        <f t="shared" si="50"/>
        <v>4.4834834230422986E-14</v>
      </c>
      <c r="Y352" s="8"/>
      <c r="Z352" s="8">
        <f t="shared" si="51"/>
        <v>0</v>
      </c>
      <c r="AA352" s="8">
        <v>1.168075E-3</v>
      </c>
      <c r="AB352" s="8">
        <f t="shared" si="52"/>
        <v>3.0435255623131791E-8</v>
      </c>
      <c r="AC352" s="8">
        <v>9.0667368999999998E-2</v>
      </c>
      <c r="AD352" s="18">
        <f t="shared" si="53"/>
        <v>2.3624206940408921E-6</v>
      </c>
      <c r="AE352" s="9">
        <v>77.599999999999994</v>
      </c>
      <c r="AF352" s="10">
        <v>74.8</v>
      </c>
      <c r="AG352" s="10">
        <v>87.1</v>
      </c>
      <c r="AH352" s="10">
        <v>84.3</v>
      </c>
      <c r="AI352" s="10">
        <v>82.9</v>
      </c>
      <c r="AJ352" s="10">
        <v>89.2</v>
      </c>
      <c r="AK352" s="11">
        <v>38379.01066</v>
      </c>
      <c r="AL352" s="11">
        <v>31.96875</v>
      </c>
      <c r="AM352" s="11">
        <v>4905.22714</v>
      </c>
      <c r="AN352" s="11">
        <v>6</v>
      </c>
      <c r="AO352" s="11">
        <v>94.414000000000001</v>
      </c>
      <c r="AP352" s="19">
        <v>32.102733000000001</v>
      </c>
    </row>
    <row r="353" spans="2:42">
      <c r="B353" t="s">
        <v>125</v>
      </c>
      <c r="C353" t="s">
        <v>126</v>
      </c>
      <c r="D353" t="s">
        <v>127</v>
      </c>
      <c r="E353" t="s">
        <v>35</v>
      </c>
      <c r="F353" t="s">
        <v>36</v>
      </c>
      <c r="G353" t="s">
        <v>37</v>
      </c>
      <c r="H353" t="s">
        <v>38</v>
      </c>
      <c r="I353" t="s">
        <v>39</v>
      </c>
      <c r="J353" t="s">
        <v>40</v>
      </c>
      <c r="K353">
        <v>2015</v>
      </c>
      <c r="L353">
        <v>0.28095137023564698</v>
      </c>
      <c r="M353" s="7">
        <v>296.04559540000002</v>
      </c>
      <c r="N353" s="7">
        <f t="shared" si="45"/>
        <v>1.4793896579198001E-2</v>
      </c>
      <c r="O353" s="8">
        <v>3.2303915000000002E-2</v>
      </c>
      <c r="P353" s="8">
        <f t="shared" si="46"/>
        <v>1.6142809926541572E-6</v>
      </c>
      <c r="Q353" s="8">
        <v>2.256671E-3</v>
      </c>
      <c r="R353" s="8">
        <f t="shared" si="47"/>
        <v>1.1276964733141011E-7</v>
      </c>
      <c r="S353" s="8">
        <v>2.8644E-3</v>
      </c>
      <c r="T353" s="8">
        <f t="shared" si="48"/>
        <v>1.4313888813038814E-7</v>
      </c>
      <c r="U353" s="8">
        <v>1.8092340000000001E-3</v>
      </c>
      <c r="V353" s="8">
        <f t="shared" si="49"/>
        <v>9.0410467507224783E-8</v>
      </c>
      <c r="W353" s="8">
        <v>8.1846750000000006E-3</v>
      </c>
      <c r="X353" s="8">
        <f t="shared" si="50"/>
        <v>4.5179632014846879E-12</v>
      </c>
      <c r="Y353" s="8"/>
      <c r="Z353" s="8">
        <f t="shared" si="51"/>
        <v>0</v>
      </c>
      <c r="AA353" s="8">
        <v>6.6121549999999998E-3</v>
      </c>
      <c r="AB353" s="8">
        <f t="shared" si="52"/>
        <v>3.3042051209530319E-7</v>
      </c>
      <c r="AC353" s="8">
        <v>0.48413489500000001</v>
      </c>
      <c r="AD353" s="18">
        <f t="shared" si="53"/>
        <v>2.4193035391503354E-5</v>
      </c>
      <c r="AE353" s="9">
        <v>61.4</v>
      </c>
      <c r="AF353" s="10">
        <v>83.3</v>
      </c>
      <c r="AG353" s="10">
        <v>83.8</v>
      </c>
      <c r="AH353" s="10">
        <v>83.8</v>
      </c>
      <c r="AI353" s="10">
        <v>77.599999999999994</v>
      </c>
      <c r="AJ353" s="10">
        <v>72.900000000000006</v>
      </c>
      <c r="AK353" s="11">
        <v>20011.333310000002</v>
      </c>
      <c r="AL353" s="11">
        <v>43.064596899999998</v>
      </c>
      <c r="AM353" s="11">
        <v>2232.9930260000001</v>
      </c>
      <c r="AN353" s="11">
        <v>11.5</v>
      </c>
      <c r="AO353" s="11">
        <v>41</v>
      </c>
      <c r="AP353" s="19">
        <v>1.80269795</v>
      </c>
    </row>
    <row r="354" spans="2:42">
      <c r="B354" t="s">
        <v>128</v>
      </c>
      <c r="C354" t="s">
        <v>129</v>
      </c>
      <c r="D354" t="s">
        <v>130</v>
      </c>
      <c r="E354" t="s">
        <v>35</v>
      </c>
      <c r="F354" t="s">
        <v>36</v>
      </c>
      <c r="G354" t="s">
        <v>37</v>
      </c>
      <c r="H354" t="s">
        <v>38</v>
      </c>
      <c r="I354" t="s">
        <v>39</v>
      </c>
      <c r="J354" t="s">
        <v>40</v>
      </c>
      <c r="K354">
        <v>2015</v>
      </c>
      <c r="L354">
        <v>0.30874014020366303</v>
      </c>
      <c r="M354" s="7">
        <v>296.04559540000002</v>
      </c>
      <c r="N354" s="7">
        <f t="shared" si="45"/>
        <v>3.2187201415028226E-2</v>
      </c>
      <c r="O354" s="8">
        <v>1.1180066609999999</v>
      </c>
      <c r="P354" s="8">
        <f t="shared" si="46"/>
        <v>1.2155393000300715E-4</v>
      </c>
      <c r="Q354" s="8">
        <v>0.23770733499999999</v>
      </c>
      <c r="R354" s="8">
        <f t="shared" si="47"/>
        <v>2.584444419494507E-5</v>
      </c>
      <c r="S354" s="8">
        <v>9.2113631000000001E-2</v>
      </c>
      <c r="T354" s="8">
        <f t="shared" si="48"/>
        <v>1.0014943779388475E-5</v>
      </c>
      <c r="U354" s="8">
        <v>8.4353599999999998E-4</v>
      </c>
      <c r="V354" s="8">
        <f t="shared" si="49"/>
        <v>9.1712437390403565E-8</v>
      </c>
      <c r="W354" s="8">
        <v>2.518279E-3</v>
      </c>
      <c r="X354" s="8">
        <f t="shared" si="50"/>
        <v>9.9713244865526711E-12</v>
      </c>
      <c r="Y354" s="8"/>
      <c r="Z354" s="8">
        <f t="shared" si="51"/>
        <v>0</v>
      </c>
      <c r="AA354" s="8">
        <v>8.5875729999999994E-3</v>
      </c>
      <c r="AB354" s="8">
        <f t="shared" si="52"/>
        <v>9.336735493186065E-7</v>
      </c>
      <c r="AC354" s="8">
        <v>0.84060465600000001</v>
      </c>
      <c r="AD354" s="18">
        <f t="shared" si="53"/>
        <v>9.1393730538449731E-5</v>
      </c>
      <c r="AE354" s="9">
        <v>17.100000000000001</v>
      </c>
      <c r="AF354" s="10">
        <v>26.2</v>
      </c>
      <c r="AG354" s="10">
        <v>34.799999999999997</v>
      </c>
      <c r="AH354" s="10">
        <v>50</v>
      </c>
      <c r="AI354" s="10">
        <v>42.4</v>
      </c>
      <c r="AJ354" s="10">
        <v>48.3</v>
      </c>
      <c r="AK354" s="11">
        <v>9197.6183820000006</v>
      </c>
      <c r="AL354" s="11">
        <v>70.498783500000002</v>
      </c>
      <c r="AM354" s="11">
        <v>1945.0080359999999</v>
      </c>
      <c r="AN354" s="11">
        <v>24.7</v>
      </c>
      <c r="AO354" s="11">
        <v>42.49</v>
      </c>
      <c r="AP354" s="19">
        <v>2.8966355500000001</v>
      </c>
    </row>
    <row r="355" spans="2:42">
      <c r="B355" t="s">
        <v>131</v>
      </c>
      <c r="C355" t="s">
        <v>132</v>
      </c>
      <c r="D355" t="s">
        <v>133</v>
      </c>
      <c r="E355" t="s">
        <v>35</v>
      </c>
      <c r="F355" t="s">
        <v>36</v>
      </c>
      <c r="G355" t="s">
        <v>37</v>
      </c>
      <c r="H355" t="s">
        <v>38</v>
      </c>
      <c r="I355" t="s">
        <v>39</v>
      </c>
      <c r="J355" t="s">
        <v>40</v>
      </c>
      <c r="K355">
        <v>2015</v>
      </c>
      <c r="L355">
        <v>1.3507089772872201</v>
      </c>
      <c r="M355" s="7">
        <v>11.77776809</v>
      </c>
      <c r="N355" s="7">
        <f t="shared" si="45"/>
        <v>2.3107097442391276E-4</v>
      </c>
      <c r="O355" s="8">
        <v>14.026920580000001</v>
      </c>
      <c r="P355" s="8">
        <f t="shared" si="46"/>
        <v>2.7519765899783783E-4</v>
      </c>
      <c r="Q355" s="8">
        <v>0.26594396100000001</v>
      </c>
      <c r="R355" s="8">
        <f t="shared" si="47"/>
        <v>5.217621007718878E-6</v>
      </c>
      <c r="S355" s="8">
        <v>2.5243251130000002</v>
      </c>
      <c r="T355" s="8">
        <f t="shared" si="48"/>
        <v>4.9525365006882532E-5</v>
      </c>
      <c r="U355" s="8">
        <v>1.8276042999999999E-2</v>
      </c>
      <c r="V355" s="8">
        <f t="shared" si="49"/>
        <v>3.5856225325144175E-7</v>
      </c>
      <c r="W355" s="8">
        <v>0.125026732</v>
      </c>
      <c r="X355" s="8">
        <f t="shared" si="50"/>
        <v>7.0347224208627135E-12</v>
      </c>
      <c r="Y355" s="8">
        <v>8.7501604999999996E-2</v>
      </c>
      <c r="Z355" s="8">
        <f t="shared" si="51"/>
        <v>1.7167158477312414E-6</v>
      </c>
      <c r="AA355" s="8">
        <v>7.0194036000000001E-2</v>
      </c>
      <c r="AB355" s="8">
        <f t="shared" si="52"/>
        <v>1.3771543278253844E-6</v>
      </c>
      <c r="AC355" s="8">
        <v>4.4360843010000002</v>
      </c>
      <c r="AD355" s="18">
        <f t="shared" si="53"/>
        <v>8.7032646102873964E-5</v>
      </c>
      <c r="AE355" s="9">
        <v>94.3</v>
      </c>
      <c r="AF355" s="10">
        <v>97.1</v>
      </c>
      <c r="AG355" s="10">
        <v>78.599999999999994</v>
      </c>
      <c r="AH355" s="10">
        <v>96.7</v>
      </c>
      <c r="AI355" s="10">
        <v>97.1</v>
      </c>
      <c r="AJ355" s="10">
        <v>99</v>
      </c>
      <c r="AK355" s="11">
        <v>50970.348480000001</v>
      </c>
      <c r="AL355" s="11">
        <v>54.826254800000001</v>
      </c>
      <c r="AM355" s="11">
        <v>6711.7778520000002</v>
      </c>
      <c r="AN355" s="11">
        <v>5.8</v>
      </c>
      <c r="AO355" s="11">
        <v>90.173000000000002</v>
      </c>
      <c r="AP355" s="19">
        <v>48.501059300000001</v>
      </c>
    </row>
    <row r="356" spans="2:42">
      <c r="B356" t="s">
        <v>134</v>
      </c>
      <c r="C356" t="s">
        <v>135</v>
      </c>
      <c r="D356" t="s">
        <v>136</v>
      </c>
      <c r="E356" t="s">
        <v>35</v>
      </c>
      <c r="F356" t="s">
        <v>36</v>
      </c>
      <c r="G356" t="s">
        <v>37</v>
      </c>
      <c r="H356" t="s">
        <v>38</v>
      </c>
      <c r="I356" t="s">
        <v>39</v>
      </c>
      <c r="J356" t="s">
        <v>40</v>
      </c>
      <c r="K356">
        <v>2015</v>
      </c>
      <c r="L356">
        <v>0.88606594050851695</v>
      </c>
      <c r="M356" s="7">
        <v>86.030332250000001</v>
      </c>
      <c r="N356" s="7">
        <f t="shared" si="45"/>
        <v>1.4160396841319057E-3</v>
      </c>
      <c r="O356" s="8">
        <v>2.7745659699999998</v>
      </c>
      <c r="P356" s="8">
        <f t="shared" si="46"/>
        <v>4.5668724239547895E-5</v>
      </c>
      <c r="Q356" s="8">
        <v>0.18115691</v>
      </c>
      <c r="R356" s="8">
        <f t="shared" si="47"/>
        <v>2.9818014984443125E-6</v>
      </c>
      <c r="S356" s="8">
        <v>4.6622470199999997</v>
      </c>
      <c r="T356" s="8">
        <f t="shared" si="48"/>
        <v>7.6739524594195881E-5</v>
      </c>
      <c r="U356" s="8">
        <v>2.9882474999999999E-2</v>
      </c>
      <c r="V356" s="8">
        <f t="shared" si="49"/>
        <v>4.918587357900104E-7</v>
      </c>
      <c r="W356" s="8">
        <v>1.9349247E-2</v>
      </c>
      <c r="X356" s="8">
        <f t="shared" si="50"/>
        <v>8.0958828200457718E-12</v>
      </c>
      <c r="Y356" s="8">
        <v>0.11751824499999999</v>
      </c>
      <c r="Z356" s="8">
        <f t="shared" si="51"/>
        <v>1.9343235598109166E-6</v>
      </c>
      <c r="AA356" s="8">
        <v>3.0644134E-2</v>
      </c>
      <c r="AB356" s="8">
        <f t="shared" si="52"/>
        <v>5.0439546953924253E-7</v>
      </c>
      <c r="AC356" s="8">
        <v>0.64076633699999996</v>
      </c>
      <c r="AD356" s="18">
        <f t="shared" si="53"/>
        <v>1.0546868037323407E-5</v>
      </c>
      <c r="AE356" s="9">
        <v>99</v>
      </c>
      <c r="AF356" s="10">
        <v>97.6</v>
      </c>
      <c r="AG356" s="10">
        <v>90.5</v>
      </c>
      <c r="AH356" s="10">
        <v>92.4</v>
      </c>
      <c r="AI356" s="10">
        <v>98.6</v>
      </c>
      <c r="AJ356" s="10">
        <v>100</v>
      </c>
      <c r="AK356" s="11">
        <v>60754.181689999998</v>
      </c>
      <c r="AL356" s="11">
        <v>2.70004138</v>
      </c>
      <c r="AM356" s="11">
        <v>23596.313999999998</v>
      </c>
      <c r="AN356" s="11">
        <v>56.5</v>
      </c>
      <c r="AO356" s="11">
        <v>81.090999999999994</v>
      </c>
      <c r="AP356" s="19">
        <v>1.8739942300000001</v>
      </c>
    </row>
    <row r="357" spans="2:42">
      <c r="B357" t="s">
        <v>137</v>
      </c>
      <c r="C357" t="s">
        <v>138</v>
      </c>
      <c r="D357" t="s">
        <v>139</v>
      </c>
      <c r="E357" t="s">
        <v>35</v>
      </c>
      <c r="F357" t="s">
        <v>36</v>
      </c>
      <c r="G357" t="s">
        <v>37</v>
      </c>
      <c r="H357" t="s">
        <v>38</v>
      </c>
      <c r="I357" t="s">
        <v>39</v>
      </c>
      <c r="J357" t="s">
        <v>40</v>
      </c>
      <c r="K357">
        <v>2015</v>
      </c>
      <c r="L357">
        <v>0.60087153931173998</v>
      </c>
      <c r="M357" s="7">
        <v>1.111018023</v>
      </c>
      <c r="N357" s="7">
        <f t="shared" si="45"/>
        <v>4.1155917547041514E-5</v>
      </c>
      <c r="O357" s="8">
        <v>19.209624909999999</v>
      </c>
      <c r="P357" s="8">
        <f t="shared" si="46"/>
        <v>7.1159038155905303E-4</v>
      </c>
      <c r="Q357" s="8">
        <v>3.7010709080000002</v>
      </c>
      <c r="R357" s="8">
        <f t="shared" si="47"/>
        <v>1.3710035838491712E-4</v>
      </c>
      <c r="S357" s="8">
        <v>20.823029649999999</v>
      </c>
      <c r="T357" s="8">
        <f t="shared" si="48"/>
        <v>7.7135642592091481E-4</v>
      </c>
      <c r="U357" s="8">
        <v>0.107541408</v>
      </c>
      <c r="V357" s="8">
        <f t="shared" si="49"/>
        <v>3.9837025402969104E-6</v>
      </c>
      <c r="W357" s="8">
        <v>0.12149006800000001</v>
      </c>
      <c r="X357" s="8">
        <f t="shared" si="50"/>
        <v>1.4757000326393399E-10</v>
      </c>
      <c r="Y357" s="8">
        <v>2.5773253999999999E-2</v>
      </c>
      <c r="Z357" s="8">
        <f t="shared" si="51"/>
        <v>9.5472971147557876E-7</v>
      </c>
      <c r="AA357" s="8">
        <v>0.19491567100000001</v>
      </c>
      <c r="AB357" s="8">
        <f t="shared" si="52"/>
        <v>7.2203448713111219E-6</v>
      </c>
      <c r="AC357" s="8">
        <v>7.9648480099999999</v>
      </c>
      <c r="AD357" s="18">
        <f t="shared" si="53"/>
        <v>2.9504528386420039E-4</v>
      </c>
      <c r="AE357" s="9">
        <v>74.8</v>
      </c>
      <c r="AF357" s="10">
        <v>74.3</v>
      </c>
      <c r="AG357" s="10">
        <v>74.8</v>
      </c>
      <c r="AH357" s="10">
        <v>79.5</v>
      </c>
      <c r="AI357" s="10">
        <v>76.2</v>
      </c>
      <c r="AJ357" s="10">
        <v>81.8</v>
      </c>
      <c r="AK357" s="11">
        <v>26995.34087</v>
      </c>
      <c r="AL357" s="11">
        <v>46.934909699999999</v>
      </c>
      <c r="AM357" s="11">
        <v>4056.081948</v>
      </c>
      <c r="AN357" s="11">
        <v>11.9</v>
      </c>
      <c r="AO357" s="11">
        <v>60.277999999999999</v>
      </c>
      <c r="AP357" s="19">
        <v>3.2954617800000001</v>
      </c>
    </row>
    <row r="358" spans="2:42">
      <c r="B358" t="s">
        <v>140</v>
      </c>
      <c r="C358" t="s">
        <v>141</v>
      </c>
      <c r="D358" t="s">
        <v>142</v>
      </c>
      <c r="E358" t="s">
        <v>35</v>
      </c>
      <c r="F358" t="s">
        <v>36</v>
      </c>
      <c r="G358" t="s">
        <v>37</v>
      </c>
      <c r="H358" t="s">
        <v>38</v>
      </c>
      <c r="I358" t="s">
        <v>39</v>
      </c>
      <c r="J358" t="s">
        <v>40</v>
      </c>
      <c r="K358">
        <v>2015</v>
      </c>
      <c r="L358">
        <v>0.60345873313702103</v>
      </c>
      <c r="M358" s="7">
        <v>66.699699820000006</v>
      </c>
      <c r="N358" s="7">
        <f t="shared" si="45"/>
        <v>2.2521541974638987E-3</v>
      </c>
      <c r="O358" s="8">
        <v>4.9960694989999999</v>
      </c>
      <c r="P358" s="8">
        <f t="shared" si="46"/>
        <v>1.6869519538107878E-4</v>
      </c>
      <c r="Q358" s="8">
        <v>0.28667890600000001</v>
      </c>
      <c r="R358" s="8">
        <f t="shared" si="47"/>
        <v>9.6798801675965077E-6</v>
      </c>
      <c r="S358" s="8">
        <v>0.51851704799999998</v>
      </c>
      <c r="T358" s="8">
        <f t="shared" si="48"/>
        <v>1.7508030010048546E-5</v>
      </c>
      <c r="U358" s="8">
        <v>4.2454602000000001E-2</v>
      </c>
      <c r="V358" s="8">
        <f t="shared" si="49"/>
        <v>1.4335043539024913E-6</v>
      </c>
      <c r="W358" s="8">
        <v>4.1015679999999999E-2</v>
      </c>
      <c r="X358" s="8">
        <f t="shared" si="50"/>
        <v>4.8403109105990413E-11</v>
      </c>
      <c r="Y358" s="8">
        <v>3.2995099999999999E-3</v>
      </c>
      <c r="Z358" s="8">
        <f t="shared" si="51"/>
        <v>1.1140987614828679E-7</v>
      </c>
      <c r="AA358" s="8">
        <v>2.5938224999999999E-2</v>
      </c>
      <c r="AB358" s="8">
        <f t="shared" si="52"/>
        <v>8.7581926854484331E-7</v>
      </c>
      <c r="AC358" s="8">
        <v>2.9815376979999999</v>
      </c>
      <c r="AD358" s="18">
        <f t="shared" si="53"/>
        <v>1.0067335624551164E-4</v>
      </c>
      <c r="AE358" s="9">
        <v>78.099999999999994</v>
      </c>
      <c r="AF358" s="10">
        <v>85.2</v>
      </c>
      <c r="AG358" s="10">
        <v>78.099999999999994</v>
      </c>
      <c r="AH358" s="10">
        <v>79</v>
      </c>
      <c r="AI358" s="10">
        <v>82.4</v>
      </c>
      <c r="AJ358" s="10">
        <v>84.7</v>
      </c>
      <c r="AK358" s="11">
        <v>29615.95609</v>
      </c>
      <c r="AL358" s="11">
        <v>39.722244099999998</v>
      </c>
      <c r="AM358" s="11">
        <v>4807.0703480000002</v>
      </c>
      <c r="AN358" s="11">
        <v>27.2</v>
      </c>
      <c r="AO358" s="11">
        <v>63.514000000000003</v>
      </c>
      <c r="AP358" s="19">
        <v>0.63522204999999998</v>
      </c>
    </row>
    <row r="359" spans="2:42">
      <c r="B359" t="s">
        <v>143</v>
      </c>
      <c r="C359" t="s">
        <v>144</v>
      </c>
      <c r="D359" t="s">
        <v>145</v>
      </c>
      <c r="E359" t="s">
        <v>35</v>
      </c>
      <c r="F359" t="s">
        <v>36</v>
      </c>
      <c r="G359" t="s">
        <v>37</v>
      </c>
      <c r="H359" t="s">
        <v>38</v>
      </c>
      <c r="I359" t="s">
        <v>39</v>
      </c>
      <c r="J359" t="s">
        <v>40</v>
      </c>
      <c r="K359">
        <v>2015</v>
      </c>
      <c r="L359">
        <v>0.95870393981205204</v>
      </c>
      <c r="M359" s="7">
        <v>11.83856074</v>
      </c>
      <c r="N359" s="7">
        <f t="shared" si="45"/>
        <v>5.4731339256073881E-4</v>
      </c>
      <c r="O359" s="8">
        <v>9.4833745129999993</v>
      </c>
      <c r="P359" s="8">
        <f t="shared" si="46"/>
        <v>4.3842980507730826E-4</v>
      </c>
      <c r="Q359" s="8">
        <v>1.1331913339999999</v>
      </c>
      <c r="R359" s="8">
        <f t="shared" si="47"/>
        <v>5.2389036729474032E-5</v>
      </c>
      <c r="S359" s="8">
        <v>3.5906356590000001</v>
      </c>
      <c r="T359" s="8">
        <f t="shared" si="48"/>
        <v>1.6600016058851208E-4</v>
      </c>
      <c r="U359" s="8">
        <v>2.105665E-2</v>
      </c>
      <c r="V359" s="8">
        <f t="shared" si="49"/>
        <v>9.7347868550650193E-7</v>
      </c>
      <c r="W359" s="8">
        <v>1.823907E-2</v>
      </c>
      <c r="X359" s="8">
        <f t="shared" si="50"/>
        <v>4.5005295293195589E-11</v>
      </c>
      <c r="Y359" s="8">
        <v>4.4727933999999997E-2</v>
      </c>
      <c r="Z359" s="8">
        <f t="shared" si="51"/>
        <v>2.0678355956783997E-6</v>
      </c>
      <c r="AA359" s="8">
        <v>2.320763E-2</v>
      </c>
      <c r="AB359" s="8">
        <f t="shared" si="52"/>
        <v>1.0729215305436174E-6</v>
      </c>
      <c r="AC359" s="8">
        <v>7.4900830100000002</v>
      </c>
      <c r="AD359" s="18">
        <f t="shared" si="53"/>
        <v>3.4627712209251631E-4</v>
      </c>
      <c r="AE359" s="9">
        <v>51.9</v>
      </c>
      <c r="AF359" s="10">
        <v>56.7</v>
      </c>
      <c r="AG359" s="10">
        <v>54.3</v>
      </c>
      <c r="AH359" s="10">
        <v>70</v>
      </c>
      <c r="AI359" s="10">
        <v>61.4</v>
      </c>
      <c r="AJ359" s="10">
        <v>63.5</v>
      </c>
      <c r="AK359" s="11">
        <v>21630.31437</v>
      </c>
      <c r="AL359" s="11">
        <v>60.231223900000003</v>
      </c>
      <c r="AM359" s="11">
        <v>2644.7323160000001</v>
      </c>
      <c r="AN359" s="11">
        <v>23.7</v>
      </c>
      <c r="AO359" s="11">
        <v>53.887</v>
      </c>
      <c r="AP359" s="19">
        <v>2.4272582200000001</v>
      </c>
    </row>
    <row r="360" spans="2:42">
      <c r="B360" t="s">
        <v>146</v>
      </c>
      <c r="C360" t="s">
        <v>147</v>
      </c>
      <c r="D360" t="s">
        <v>148</v>
      </c>
      <c r="E360" t="s">
        <v>35</v>
      </c>
      <c r="F360" t="s">
        <v>36</v>
      </c>
      <c r="G360" t="s">
        <v>37</v>
      </c>
      <c r="H360" t="s">
        <v>38</v>
      </c>
      <c r="I360" t="s">
        <v>39</v>
      </c>
      <c r="J360" t="s">
        <v>40</v>
      </c>
      <c r="K360">
        <v>2015</v>
      </c>
      <c r="L360">
        <v>0.926753888559262</v>
      </c>
      <c r="M360" s="7">
        <v>1.0600739539999999</v>
      </c>
      <c r="N360" s="7">
        <f t="shared" si="45"/>
        <v>3.515297126125742E-5</v>
      </c>
      <c r="O360" s="8">
        <v>1.7005095210000001</v>
      </c>
      <c r="P360" s="8">
        <f t="shared" si="46"/>
        <v>5.639036983754402E-5</v>
      </c>
      <c r="Q360" s="8">
        <v>3.1224914999999999E-2</v>
      </c>
      <c r="R360" s="8">
        <f t="shared" si="47"/>
        <v>1.0354452493511652E-6</v>
      </c>
      <c r="S360" s="8">
        <v>0.65773475100000001</v>
      </c>
      <c r="T360" s="8">
        <f t="shared" si="48"/>
        <v>2.1811054513875271E-5</v>
      </c>
      <c r="U360" s="8">
        <v>2.5849321000000001E-2</v>
      </c>
      <c r="V360" s="8">
        <f t="shared" si="49"/>
        <v>8.5718589236842809E-7</v>
      </c>
      <c r="W360" s="8">
        <v>2.0157975000000002E-2</v>
      </c>
      <c r="X360" s="8">
        <f t="shared" si="50"/>
        <v>2.8425027259921388E-11</v>
      </c>
      <c r="Y360" s="8">
        <v>1.3122128E-2</v>
      </c>
      <c r="Z360" s="8">
        <f t="shared" si="51"/>
        <v>4.3514113966292331E-7</v>
      </c>
      <c r="AA360" s="8">
        <v>6.798302E-3</v>
      </c>
      <c r="AB360" s="8">
        <f t="shared" si="52"/>
        <v>2.2543758756603585E-7</v>
      </c>
      <c r="AC360" s="8">
        <v>3.4775547260000002</v>
      </c>
      <c r="AD360" s="18">
        <f t="shared" si="53"/>
        <v>1.1531872930303873E-4</v>
      </c>
      <c r="AE360" s="9">
        <v>59.5</v>
      </c>
      <c r="AF360" s="10">
        <v>73.8</v>
      </c>
      <c r="AG360" s="10">
        <v>75.2</v>
      </c>
      <c r="AH360" s="10">
        <v>75.2</v>
      </c>
      <c r="AI360" s="10">
        <v>67.599999999999994</v>
      </c>
      <c r="AJ360" s="10">
        <v>76.400000000000006</v>
      </c>
      <c r="AK360" s="11">
        <v>30156.027099999999</v>
      </c>
      <c r="AL360" s="11">
        <v>39.2787322</v>
      </c>
      <c r="AM360" s="11">
        <v>5149.1564680000001</v>
      </c>
      <c r="AN360" s="11">
        <v>13.4</v>
      </c>
      <c r="AO360" s="11">
        <v>53.889000000000003</v>
      </c>
      <c r="AP360" s="19">
        <v>1.70487123</v>
      </c>
    </row>
    <row r="361" spans="2:42">
      <c r="B361" t="s">
        <v>149</v>
      </c>
      <c r="C361" t="s">
        <v>150</v>
      </c>
      <c r="D361" t="s">
        <v>151</v>
      </c>
      <c r="E361" t="s">
        <v>35</v>
      </c>
      <c r="F361" t="s">
        <v>36</v>
      </c>
      <c r="G361" t="s">
        <v>37</v>
      </c>
      <c r="H361" t="s">
        <v>38</v>
      </c>
      <c r="I361" t="s">
        <v>39</v>
      </c>
      <c r="J361" t="s">
        <v>40</v>
      </c>
      <c r="K361">
        <v>2015</v>
      </c>
      <c r="L361">
        <v>1.03947740949126</v>
      </c>
      <c r="M361" s="7">
        <v>62.745776900000003</v>
      </c>
      <c r="N361" s="7">
        <f t="shared" si="45"/>
        <v>2.0018031465631352E-3</v>
      </c>
      <c r="O361" s="8">
        <v>1.5630089549999999</v>
      </c>
      <c r="P361" s="8">
        <f t="shared" si="46"/>
        <v>4.986528813264813E-5</v>
      </c>
      <c r="Q361" s="8">
        <v>0.18447041</v>
      </c>
      <c r="R361" s="8">
        <f t="shared" si="47"/>
        <v>5.8852318901766854E-6</v>
      </c>
      <c r="S361" s="8">
        <v>1.001255292</v>
      </c>
      <c r="T361" s="8">
        <f t="shared" si="48"/>
        <v>3.1943440547926192E-5</v>
      </c>
      <c r="U361" s="8">
        <v>5.0424770000000001E-3</v>
      </c>
      <c r="V361" s="8">
        <f t="shared" si="49"/>
        <v>1.608721227750427E-7</v>
      </c>
      <c r="W361" s="8">
        <v>3.741257E-3</v>
      </c>
      <c r="X361" s="8">
        <f t="shared" si="50"/>
        <v>5.1323664711110058E-12</v>
      </c>
      <c r="Y361" s="8">
        <v>6.4400000000000004E-3</v>
      </c>
      <c r="Z361" s="8">
        <f t="shared" si="51"/>
        <v>2.0545784753629514E-7</v>
      </c>
      <c r="AA361" s="8">
        <v>6.7583269999999997E-3</v>
      </c>
      <c r="AB361" s="8">
        <f t="shared" si="52"/>
        <v>2.1561355875255076E-7</v>
      </c>
      <c r="AC361" s="8">
        <v>0.56920367599999999</v>
      </c>
      <c r="AD361" s="18">
        <f t="shared" si="53"/>
        <v>1.8159528273401667E-5</v>
      </c>
      <c r="AE361" s="9">
        <v>75.7</v>
      </c>
      <c r="AF361" s="10">
        <v>77.099999999999994</v>
      </c>
      <c r="AG361" s="10">
        <v>80</v>
      </c>
      <c r="AH361" s="10">
        <v>71.400000000000006</v>
      </c>
      <c r="AI361" s="10">
        <v>80</v>
      </c>
      <c r="AJ361" s="10">
        <v>78.3</v>
      </c>
      <c r="AK361" s="11">
        <v>31344.628970000002</v>
      </c>
      <c r="AL361" s="11">
        <v>30.606277200000001</v>
      </c>
      <c r="AM361" s="11">
        <v>6875.5933400000004</v>
      </c>
      <c r="AN361" s="11">
        <v>21.4</v>
      </c>
      <c r="AO361" s="11">
        <v>53.780999999999999</v>
      </c>
      <c r="AP361" s="19">
        <v>4.0509684799999999</v>
      </c>
    </row>
    <row r="362" spans="2:42">
      <c r="B362" t="s">
        <v>152</v>
      </c>
      <c r="C362" t="s">
        <v>153</v>
      </c>
      <c r="D362" t="s">
        <v>154</v>
      </c>
      <c r="E362" t="s">
        <v>35</v>
      </c>
      <c r="F362" t="s">
        <v>36</v>
      </c>
      <c r="G362" t="s">
        <v>37</v>
      </c>
      <c r="H362" t="s">
        <v>38</v>
      </c>
      <c r="I362" t="s">
        <v>39</v>
      </c>
      <c r="J362" t="s">
        <v>40</v>
      </c>
      <c r="K362">
        <v>2015</v>
      </c>
      <c r="L362">
        <v>0.85821137909594603</v>
      </c>
      <c r="M362" s="7">
        <v>1.0600739539999999</v>
      </c>
      <c r="N362" s="7">
        <f t="shared" si="45"/>
        <v>3.0083202055945563E-5</v>
      </c>
      <c r="O362" s="8">
        <v>27.09986799</v>
      </c>
      <c r="P362" s="8">
        <f t="shared" si="46"/>
        <v>7.6905087740003226E-4</v>
      </c>
      <c r="Q362" s="8">
        <v>1.037760239</v>
      </c>
      <c r="R362" s="8">
        <f t="shared" si="47"/>
        <v>2.944997453966628E-5</v>
      </c>
      <c r="S362" s="8">
        <v>1.208547745</v>
      </c>
      <c r="T362" s="8">
        <f t="shared" si="48"/>
        <v>3.4296650596786926E-5</v>
      </c>
      <c r="U362" s="8">
        <v>7.5949850999999999E-2</v>
      </c>
      <c r="V362" s="8">
        <f t="shared" si="49"/>
        <v>2.1553352057473148E-6</v>
      </c>
      <c r="W362" s="8">
        <v>0.116044851</v>
      </c>
      <c r="X362" s="8">
        <f t="shared" si="50"/>
        <v>6.1164963301031615E-11</v>
      </c>
      <c r="Y362" s="8">
        <v>4.0506071999999997E-2</v>
      </c>
      <c r="Z362" s="8">
        <f t="shared" si="51"/>
        <v>1.1494974891805322E-6</v>
      </c>
      <c r="AA362" s="8">
        <v>0.13796057</v>
      </c>
      <c r="AB362" s="8">
        <f t="shared" si="52"/>
        <v>3.9151001563645835E-6</v>
      </c>
      <c r="AC362" s="8">
        <v>15.75587082</v>
      </c>
      <c r="AD362" s="18">
        <f t="shared" si="53"/>
        <v>4.4712639496228651E-4</v>
      </c>
      <c r="AE362" s="9">
        <v>71.900000000000006</v>
      </c>
      <c r="AF362" s="10">
        <v>84.8</v>
      </c>
      <c r="AG362" s="10">
        <v>55.7</v>
      </c>
      <c r="AH362" s="10">
        <v>75.7</v>
      </c>
      <c r="AI362" s="10">
        <v>78.099999999999994</v>
      </c>
      <c r="AJ362" s="10">
        <v>82.8</v>
      </c>
      <c r="AK362" s="11">
        <v>35238.06914</v>
      </c>
      <c r="AL362" s="11">
        <v>53.189062200000002</v>
      </c>
      <c r="AM362" s="11">
        <v>5477.3025799999996</v>
      </c>
      <c r="AN362" s="11">
        <v>16.3</v>
      </c>
      <c r="AO362" s="11">
        <v>79.602000000000004</v>
      </c>
      <c r="AP362" s="19">
        <v>1.97131693</v>
      </c>
    </row>
    <row r="363" spans="2:42">
      <c r="B363" t="s">
        <v>155</v>
      </c>
      <c r="C363" t="s">
        <v>156</v>
      </c>
      <c r="D363" t="s">
        <v>157</v>
      </c>
      <c r="E363" t="s">
        <v>35</v>
      </c>
      <c r="F363" t="s">
        <v>36</v>
      </c>
      <c r="G363" t="s">
        <v>37</v>
      </c>
      <c r="H363" t="s">
        <v>38</v>
      </c>
      <c r="I363" t="s">
        <v>39</v>
      </c>
      <c r="J363" t="s">
        <v>40</v>
      </c>
      <c r="K363">
        <v>2015</v>
      </c>
      <c r="L363">
        <v>0.42495311550134102</v>
      </c>
      <c r="M363" s="7">
        <v>57.389989479999997</v>
      </c>
      <c r="N363" s="7">
        <f t="shared" si="45"/>
        <v>1.1763822264475204E-3</v>
      </c>
      <c r="O363" s="8">
        <v>4.0248595949999997</v>
      </c>
      <c r="P363" s="8">
        <f t="shared" si="46"/>
        <v>8.2501727817092552E-5</v>
      </c>
      <c r="Q363" s="8">
        <v>0.377874722</v>
      </c>
      <c r="R363" s="8">
        <f t="shared" si="47"/>
        <v>7.7456906825102587E-6</v>
      </c>
      <c r="S363" s="8">
        <v>0.15600312099999999</v>
      </c>
      <c r="T363" s="8">
        <f t="shared" si="48"/>
        <v>3.1977580145522952E-6</v>
      </c>
      <c r="U363" s="8">
        <v>0.174241706</v>
      </c>
      <c r="V363" s="8">
        <f t="shared" si="49"/>
        <v>3.571613236063173E-6</v>
      </c>
      <c r="W363" s="8">
        <v>0.18787679199999999</v>
      </c>
      <c r="X363" s="8">
        <f t="shared" si="50"/>
        <v>7.3211066402332242E-11</v>
      </c>
      <c r="Y363" s="8">
        <v>1.2456071000000001E-2</v>
      </c>
      <c r="Z363" s="8">
        <f t="shared" si="51"/>
        <v>2.5532502564536785E-7</v>
      </c>
      <c r="AA363" s="8">
        <v>7.9298981000000004E-2</v>
      </c>
      <c r="AB363" s="8">
        <f t="shared" si="52"/>
        <v>1.6254735829200508E-6</v>
      </c>
      <c r="AC363" s="8">
        <v>3.0992952410000001</v>
      </c>
      <c r="AD363" s="18">
        <f t="shared" si="53"/>
        <v>6.3529473851818251E-5</v>
      </c>
      <c r="AE363" s="9">
        <v>98.1</v>
      </c>
      <c r="AF363" s="10">
        <v>93.3</v>
      </c>
      <c r="AG363" s="10">
        <v>79.5</v>
      </c>
      <c r="AH363" s="10">
        <v>97.1</v>
      </c>
      <c r="AI363" s="10">
        <v>99</v>
      </c>
      <c r="AJ363" s="10">
        <v>99.5</v>
      </c>
      <c r="AK363" s="11">
        <v>48785.155189999998</v>
      </c>
      <c r="AL363" s="11">
        <v>7.43498869</v>
      </c>
      <c r="AM363" s="11">
        <v>13523.980460000001</v>
      </c>
      <c r="AN363" s="11">
        <v>51.9</v>
      </c>
      <c r="AO363" s="11">
        <v>86.552999999999997</v>
      </c>
      <c r="AP363" s="19">
        <v>1.94889443</v>
      </c>
    </row>
    <row r="364" spans="2:42">
      <c r="B364" t="s">
        <v>158</v>
      </c>
      <c r="C364" t="s">
        <v>159</v>
      </c>
      <c r="D364" t="s">
        <v>160</v>
      </c>
      <c r="E364" t="s">
        <v>35</v>
      </c>
      <c r="F364" t="s">
        <v>36</v>
      </c>
      <c r="G364" t="s">
        <v>37</v>
      </c>
      <c r="H364" t="s">
        <v>38</v>
      </c>
      <c r="I364" t="s">
        <v>39</v>
      </c>
      <c r="J364" t="s">
        <v>40</v>
      </c>
      <c r="K364">
        <v>2015</v>
      </c>
      <c r="L364">
        <v>0.58067928061740104</v>
      </c>
      <c r="M364" s="7">
        <v>62.745776900000003</v>
      </c>
      <c r="N364" s="7">
        <f t="shared" si="45"/>
        <v>9.6114113248616483E-4</v>
      </c>
      <c r="O364" s="8">
        <v>4.2194131349999999</v>
      </c>
      <c r="P364" s="8">
        <f t="shared" si="46"/>
        <v>6.4633059296790679E-5</v>
      </c>
      <c r="Q364" s="8">
        <v>0.26041795699999998</v>
      </c>
      <c r="R364" s="8">
        <f t="shared" si="47"/>
        <v>3.9890877518278584E-6</v>
      </c>
      <c r="S364" s="8">
        <v>0.67314225299999997</v>
      </c>
      <c r="T364" s="8">
        <f t="shared" si="48"/>
        <v>1.0311207213257224E-5</v>
      </c>
      <c r="U364" s="8">
        <v>1.8859720999999999E-2</v>
      </c>
      <c r="V364" s="8">
        <f t="shared" si="49"/>
        <v>2.8889360361578542E-7</v>
      </c>
      <c r="W364" s="8">
        <v>4.1990161999999998E-2</v>
      </c>
      <c r="X364" s="8">
        <f t="shared" si="50"/>
        <v>4.4252783066151695E-12</v>
      </c>
      <c r="Y364" s="8">
        <v>2.90332E-3</v>
      </c>
      <c r="Z364" s="8">
        <f t="shared" si="51"/>
        <v>4.4473116927327933E-8</v>
      </c>
      <c r="AA364" s="8">
        <v>2.8199612999999998E-2</v>
      </c>
      <c r="AB364" s="8">
        <f t="shared" si="52"/>
        <v>4.3196226604521607E-7</v>
      </c>
      <c r="AC364" s="8">
        <v>0.23303637299999999</v>
      </c>
      <c r="AD364" s="18">
        <f t="shared" si="53"/>
        <v>3.5696560712389284E-6</v>
      </c>
      <c r="AE364" s="9">
        <v>97.6</v>
      </c>
      <c r="AF364" s="10">
        <v>99.5</v>
      </c>
      <c r="AG364" s="10">
        <v>96.2</v>
      </c>
      <c r="AH364" s="10">
        <v>95.2</v>
      </c>
      <c r="AI364" s="10">
        <v>97.6</v>
      </c>
      <c r="AJ364" s="10">
        <v>98.5</v>
      </c>
      <c r="AK364" s="11">
        <v>65282.584190000001</v>
      </c>
      <c r="AL364" s="11">
        <v>38.420568600000003</v>
      </c>
      <c r="AM364" s="11">
        <v>7498.6755039999998</v>
      </c>
      <c r="AN364" s="11">
        <v>23.9</v>
      </c>
      <c r="AO364" s="11">
        <v>73.718000000000004</v>
      </c>
      <c r="AP364" s="19">
        <v>17.1083833</v>
      </c>
    </row>
    <row r="365" spans="2:42">
      <c r="B365" t="s">
        <v>161</v>
      </c>
      <c r="C365" t="s">
        <v>162</v>
      </c>
      <c r="D365" t="s">
        <v>163</v>
      </c>
      <c r="E365" t="s">
        <v>35</v>
      </c>
      <c r="F365" t="s">
        <v>36</v>
      </c>
      <c r="G365" t="s">
        <v>37</v>
      </c>
      <c r="H365" t="s">
        <v>38</v>
      </c>
      <c r="I365" t="s">
        <v>39</v>
      </c>
      <c r="J365" t="s">
        <v>40</v>
      </c>
      <c r="K365">
        <v>2015</v>
      </c>
      <c r="L365">
        <v>0.351557939664219</v>
      </c>
      <c r="M365" s="7">
        <v>71.381493000000006</v>
      </c>
      <c r="N365" s="7">
        <f t="shared" si="45"/>
        <v>2.7600186950429732E-3</v>
      </c>
      <c r="O365" s="8">
        <v>39.3342332</v>
      </c>
      <c r="P365" s="8">
        <f t="shared" si="46"/>
        <v>1.5208874797166261E-3</v>
      </c>
      <c r="Q365" s="8">
        <v>1.8117314550000001</v>
      </c>
      <c r="R365" s="8">
        <f t="shared" si="47"/>
        <v>7.0051948706051961E-5</v>
      </c>
      <c r="S365" s="8">
        <v>6.7794086929999997</v>
      </c>
      <c r="T365" s="8">
        <f t="shared" si="48"/>
        <v>2.6213089622567642E-4</v>
      </c>
      <c r="U365" s="8">
        <v>6.0579966999999998E-2</v>
      </c>
      <c r="V365" s="8">
        <f t="shared" si="49"/>
        <v>2.342369631650691E-6</v>
      </c>
      <c r="W365" s="8">
        <v>9.2210772999999996E-2</v>
      </c>
      <c r="X365" s="8">
        <f t="shared" si="50"/>
        <v>9.0569469793197371E-11</v>
      </c>
      <c r="Y365" s="8">
        <v>1.6359410000000001E-2</v>
      </c>
      <c r="Z365" s="8">
        <f t="shared" si="51"/>
        <v>6.3254879580443868E-7</v>
      </c>
      <c r="AA365" s="8">
        <v>0.293170967</v>
      </c>
      <c r="AB365" s="8">
        <f t="shared" si="52"/>
        <v>1.1335674216898581E-5</v>
      </c>
      <c r="AC365" s="8">
        <v>47.984338180000002</v>
      </c>
      <c r="AD365" s="18">
        <f t="shared" si="53"/>
        <v>1.8553502438799412E-3</v>
      </c>
      <c r="AE365" s="9">
        <v>52.4</v>
      </c>
      <c r="AF365" s="10">
        <v>62.4</v>
      </c>
      <c r="AG365" s="10">
        <v>9</v>
      </c>
      <c r="AH365" s="10">
        <v>62.9</v>
      </c>
      <c r="AI365" s="10">
        <v>47.6</v>
      </c>
      <c r="AJ365" s="10">
        <v>35.5</v>
      </c>
      <c r="AK365" s="11">
        <v>25862.684600000001</v>
      </c>
      <c r="AL365" s="11">
        <v>50.0903031</v>
      </c>
      <c r="AM365" s="11">
        <v>2930.2027210000001</v>
      </c>
      <c r="AN365" s="11">
        <v>13.3</v>
      </c>
      <c r="AO365" s="11">
        <v>73.611000000000004</v>
      </c>
      <c r="AP365" s="19">
        <v>2.2287044100000002</v>
      </c>
    </row>
    <row r="366" spans="2:42">
      <c r="B366" t="s">
        <v>164</v>
      </c>
      <c r="C366" t="s">
        <v>165</v>
      </c>
      <c r="D366" t="s">
        <v>166</v>
      </c>
      <c r="E366" t="s">
        <v>35</v>
      </c>
      <c r="F366" t="s">
        <v>36</v>
      </c>
      <c r="G366" t="s">
        <v>37</v>
      </c>
      <c r="H366" t="s">
        <v>38</v>
      </c>
      <c r="I366" t="s">
        <v>39</v>
      </c>
      <c r="J366" t="s">
        <v>40</v>
      </c>
      <c r="K366">
        <v>2015</v>
      </c>
      <c r="L366">
        <v>0.14848163522791399</v>
      </c>
      <c r="M366" s="7">
        <v>42.985497709999997</v>
      </c>
      <c r="N366" s="7">
        <f t="shared" si="45"/>
        <v>1.9628396105692943E-2</v>
      </c>
      <c r="O366" s="8">
        <v>17.885583369999999</v>
      </c>
      <c r="P366" s="8">
        <f t="shared" si="46"/>
        <v>8.1670640953421785E-3</v>
      </c>
      <c r="Q366" s="8">
        <v>3.2325197980000002</v>
      </c>
      <c r="R366" s="8">
        <f t="shared" si="47"/>
        <v>1.4760601224788877E-3</v>
      </c>
      <c r="S366" s="8">
        <v>4.6747008000000001</v>
      </c>
      <c r="T366" s="8">
        <f t="shared" si="48"/>
        <v>2.134600827400765E-3</v>
      </c>
      <c r="U366" s="8">
        <v>9.6545256999999995E-2</v>
      </c>
      <c r="V366" s="8">
        <f t="shared" si="49"/>
        <v>4.4085299635394739E-5</v>
      </c>
      <c r="W366" s="8">
        <v>3.6226600000000002E-3</v>
      </c>
      <c r="X366" s="8">
        <f t="shared" si="50"/>
        <v>2.013059682406289E-8</v>
      </c>
      <c r="Y366" s="8"/>
      <c r="Z366" s="8">
        <f t="shared" si="51"/>
        <v>0</v>
      </c>
      <c r="AA366" s="8">
        <v>1.8203988000000001E-2</v>
      </c>
      <c r="AB366" s="8">
        <f t="shared" si="52"/>
        <v>8.3124566703378325E-6</v>
      </c>
      <c r="AC366" s="8">
        <v>2.9147236740000002</v>
      </c>
      <c r="AD366" s="18">
        <f t="shared" si="53"/>
        <v>1.330945408562832E-3</v>
      </c>
      <c r="AE366" s="9">
        <v>13.3</v>
      </c>
      <c r="AF366" s="10">
        <v>32.4</v>
      </c>
      <c r="AG366" s="10">
        <v>21</v>
      </c>
      <c r="AH366" s="10">
        <v>43.8</v>
      </c>
      <c r="AI366" s="10">
        <v>40.5</v>
      </c>
      <c r="AJ366" s="10">
        <v>29.1</v>
      </c>
      <c r="AK366" s="11">
        <v>2189.9648590000002</v>
      </c>
      <c r="AL366" s="11">
        <v>71.888091000000003</v>
      </c>
      <c r="AM366" s="11">
        <v>74.577462319999995</v>
      </c>
      <c r="AN366" s="11">
        <v>91.7</v>
      </c>
      <c r="AO366" s="11">
        <v>22.06</v>
      </c>
      <c r="AP366" s="19">
        <v>2.2776050699999999</v>
      </c>
    </row>
    <row r="367" spans="2:42">
      <c r="B367" t="s">
        <v>167</v>
      </c>
      <c r="C367" t="s">
        <v>168</v>
      </c>
      <c r="D367" t="s">
        <v>169</v>
      </c>
      <c r="E367" t="s">
        <v>35</v>
      </c>
      <c r="F367" t="s">
        <v>36</v>
      </c>
      <c r="G367" t="s">
        <v>37</v>
      </c>
      <c r="H367" t="s">
        <v>38</v>
      </c>
      <c r="I367" t="s">
        <v>39</v>
      </c>
      <c r="J367" t="s">
        <v>40</v>
      </c>
      <c r="K367">
        <v>2015</v>
      </c>
      <c r="L367">
        <v>0.27807782980914703</v>
      </c>
      <c r="M367" s="7">
        <v>48808.767180000003</v>
      </c>
      <c r="N367" s="7">
        <f t="shared" si="45"/>
        <v>4.9193291541371549</v>
      </c>
      <c r="O367" s="8">
        <v>14.42828149</v>
      </c>
      <c r="P367" s="8">
        <f t="shared" si="46"/>
        <v>1.4541950120579641E-3</v>
      </c>
      <c r="Q367" s="8">
        <v>0.577018947</v>
      </c>
      <c r="R367" s="8">
        <f t="shared" si="47"/>
        <v>5.8156480740405821E-5</v>
      </c>
      <c r="S367" s="8">
        <v>41.13830754</v>
      </c>
      <c r="T367" s="8">
        <f t="shared" si="48"/>
        <v>4.1462402622680283E-3</v>
      </c>
      <c r="U367" s="8">
        <v>5.1679435000000003E-2</v>
      </c>
      <c r="V367" s="8">
        <f t="shared" si="49"/>
        <v>5.2086575005526723E-6</v>
      </c>
      <c r="W367" s="8">
        <v>4.7411432000000003E-2</v>
      </c>
      <c r="X367" s="8">
        <f t="shared" si="50"/>
        <v>5.2496922534202642E-10</v>
      </c>
      <c r="Y367" s="8">
        <v>0.11007083500000001</v>
      </c>
      <c r="Z367" s="8">
        <f t="shared" si="51"/>
        <v>1.1093799309432187E-5</v>
      </c>
      <c r="AA367" s="8">
        <v>9.8827895999999998E-2</v>
      </c>
      <c r="AB367" s="8">
        <f t="shared" si="52"/>
        <v>9.9606480172285049E-6</v>
      </c>
      <c r="AC367" s="8">
        <v>8.4737371970000002</v>
      </c>
      <c r="AD367" s="18">
        <f t="shared" si="53"/>
        <v>8.5404948426518639E-4</v>
      </c>
      <c r="AE367" s="9">
        <v>13.8</v>
      </c>
      <c r="AF367" s="10">
        <v>33.299999999999997</v>
      </c>
      <c r="AG367" s="10">
        <v>5.2</v>
      </c>
      <c r="AH367" s="10">
        <v>30</v>
      </c>
      <c r="AI367" s="10">
        <v>20</v>
      </c>
      <c r="AJ367" s="10">
        <v>43.8</v>
      </c>
      <c r="AK367" s="11">
        <v>9921.8339840000008</v>
      </c>
      <c r="AL367" s="11">
        <v>71.653230699999995</v>
      </c>
      <c r="AM367" s="11">
        <v>3164.580739</v>
      </c>
      <c r="AN367" s="11">
        <v>4.2</v>
      </c>
      <c r="AO367" s="11">
        <v>69.061000000000007</v>
      </c>
      <c r="AP367" s="19">
        <v>-0.21750839999999999</v>
      </c>
    </row>
    <row r="368" spans="2:42">
      <c r="B368" t="s">
        <v>170</v>
      </c>
      <c r="C368" t="s">
        <v>171</v>
      </c>
      <c r="D368" t="s">
        <v>172</v>
      </c>
      <c r="E368" t="s">
        <v>35</v>
      </c>
      <c r="F368" t="s">
        <v>36</v>
      </c>
      <c r="G368" t="s">
        <v>37</v>
      </c>
      <c r="H368" t="s">
        <v>38</v>
      </c>
      <c r="I368" t="s">
        <v>39</v>
      </c>
      <c r="J368" t="s">
        <v>40</v>
      </c>
      <c r="K368">
        <v>2015</v>
      </c>
      <c r="L368">
        <v>0.76901135379482999</v>
      </c>
      <c r="M368" s="7">
        <v>310.61450309999998</v>
      </c>
      <c r="N368" s="7">
        <f t="shared" si="45"/>
        <v>7.3039878586996952E-3</v>
      </c>
      <c r="O368" s="8">
        <v>32.57906182</v>
      </c>
      <c r="P368" s="8">
        <f t="shared" si="46"/>
        <v>7.6608487242625092E-4</v>
      </c>
      <c r="Q368" s="8">
        <v>0.69395563299999996</v>
      </c>
      <c r="R368" s="8">
        <f t="shared" si="47"/>
        <v>1.6318116080614724E-5</v>
      </c>
      <c r="S368" s="8">
        <v>4.9697235649999998</v>
      </c>
      <c r="T368" s="8">
        <f t="shared" si="48"/>
        <v>1.1686125476300649E-4</v>
      </c>
      <c r="U368" s="8">
        <v>7.7447105000000002E-2</v>
      </c>
      <c r="V368" s="8">
        <f t="shared" si="49"/>
        <v>1.8211407032379504E-6</v>
      </c>
      <c r="W368" s="8">
        <v>0.27372915799999997</v>
      </c>
      <c r="X368" s="8">
        <f t="shared" si="50"/>
        <v>4.2823465912509143E-11</v>
      </c>
      <c r="Y368" s="8">
        <v>6.9865392999999998E-2</v>
      </c>
      <c r="Z368" s="8">
        <f t="shared" si="51"/>
        <v>1.6428594837730316E-6</v>
      </c>
      <c r="AA368" s="8">
        <v>0.14836032299999999</v>
      </c>
      <c r="AB368" s="8">
        <f t="shared" si="52"/>
        <v>3.4886394134529552E-6</v>
      </c>
      <c r="AC368" s="8">
        <v>9.3160739550000002</v>
      </c>
      <c r="AD368" s="18">
        <f t="shared" si="53"/>
        <v>2.190641144536707E-4</v>
      </c>
      <c r="AE368" s="9">
        <v>93.8</v>
      </c>
      <c r="AF368" s="10">
        <v>94.3</v>
      </c>
      <c r="AG368" s="10">
        <v>61.4</v>
      </c>
      <c r="AH368" s="10">
        <v>98.6</v>
      </c>
      <c r="AI368" s="10">
        <v>93.8</v>
      </c>
      <c r="AJ368" s="10">
        <v>92.1</v>
      </c>
      <c r="AK368" s="11">
        <v>42526.700360000003</v>
      </c>
      <c r="AL368" s="11">
        <v>70.838672299999999</v>
      </c>
      <c r="AM368" s="11">
        <v>5078.2632739999999</v>
      </c>
      <c r="AN368" s="11">
        <v>7.7</v>
      </c>
      <c r="AO368" s="11">
        <v>82.626000000000005</v>
      </c>
      <c r="AP368" s="19">
        <v>1.5483216900000001</v>
      </c>
    </row>
    <row r="369" spans="2:42">
      <c r="B369" t="s">
        <v>173</v>
      </c>
      <c r="C369" t="s">
        <v>174</v>
      </c>
      <c r="D369" t="s">
        <v>175</v>
      </c>
      <c r="E369" t="s">
        <v>35</v>
      </c>
      <c r="F369" t="s">
        <v>36</v>
      </c>
      <c r="G369" t="s">
        <v>37</v>
      </c>
      <c r="H369" t="s">
        <v>38</v>
      </c>
      <c r="I369" t="s">
        <v>39</v>
      </c>
      <c r="J369" t="s">
        <v>40</v>
      </c>
      <c r="K369">
        <v>2015</v>
      </c>
      <c r="L369">
        <v>3.4031409642164201E-3</v>
      </c>
      <c r="M369" s="7">
        <v>23.615690189999999</v>
      </c>
      <c r="N369" s="7">
        <f t="shared" si="45"/>
        <v>7.0759193263171156E-3</v>
      </c>
      <c r="O369" s="8">
        <v>5.0374955879999996</v>
      </c>
      <c r="P369" s="8">
        <f t="shared" si="46"/>
        <v>1.5093741533948539E-3</v>
      </c>
      <c r="Q369" s="8">
        <v>1.627094834</v>
      </c>
      <c r="R369" s="8">
        <f t="shared" si="47"/>
        <v>4.8752298531281419E-4</v>
      </c>
      <c r="S369" s="8">
        <v>3.5807182700000002</v>
      </c>
      <c r="T369" s="8">
        <f t="shared" si="48"/>
        <v>1.0728830453373165E-3</v>
      </c>
      <c r="U369" s="8">
        <v>6.1144197999999997E-2</v>
      </c>
      <c r="V369" s="8">
        <f t="shared" si="49"/>
        <v>1.8320506783391213E-5</v>
      </c>
      <c r="W369" s="8">
        <v>3.2852899999999998E-4</v>
      </c>
      <c r="X369" s="8">
        <f t="shared" si="50"/>
        <v>5.4893347166035849E-9</v>
      </c>
      <c r="Y369" s="8"/>
      <c r="Z369" s="8">
        <f t="shared" si="51"/>
        <v>0</v>
      </c>
      <c r="AA369" s="8">
        <v>1.4475210000000001E-2</v>
      </c>
      <c r="AB369" s="8">
        <f t="shared" si="52"/>
        <v>4.3371765706373704E-6</v>
      </c>
      <c r="AC369" s="8">
        <v>0.73343096399999996</v>
      </c>
      <c r="AD369" s="18">
        <f t="shared" si="53"/>
        <v>2.1975636921611364E-4</v>
      </c>
      <c r="AE369" s="9">
        <v>43.8</v>
      </c>
      <c r="AF369" s="10">
        <v>30</v>
      </c>
      <c r="AG369" s="10">
        <v>53.3</v>
      </c>
      <c r="AH369" s="10">
        <v>34.799999999999997</v>
      </c>
      <c r="AI369" s="10">
        <v>46.7</v>
      </c>
      <c r="AJ369" s="10">
        <v>45.8</v>
      </c>
      <c r="AK369" s="11">
        <v>3337.4730690000001</v>
      </c>
      <c r="AL369" s="11">
        <v>31.933440099999999</v>
      </c>
      <c r="AM369" s="11">
        <v>718.14964840000005</v>
      </c>
      <c r="AN369" s="11">
        <v>84</v>
      </c>
      <c r="AO369" s="11">
        <v>41.906999999999996</v>
      </c>
      <c r="AP369" s="19">
        <v>7.4474166899999998</v>
      </c>
    </row>
    <row r="370" spans="2:42">
      <c r="B370" t="s">
        <v>32</v>
      </c>
      <c r="C370" t="s">
        <v>33</v>
      </c>
      <c r="D370" t="s">
        <v>34</v>
      </c>
      <c r="E370" t="s">
        <v>35</v>
      </c>
      <c r="F370" t="s">
        <v>36</v>
      </c>
      <c r="G370" t="s">
        <v>37</v>
      </c>
      <c r="H370" t="s">
        <v>38</v>
      </c>
      <c r="I370" t="s">
        <v>39</v>
      </c>
      <c r="J370" t="s">
        <v>40</v>
      </c>
      <c r="K370">
        <v>2016</v>
      </c>
      <c r="L370">
        <v>0.77023862918007202</v>
      </c>
      <c r="M370" s="7">
        <v>603.84799580000004</v>
      </c>
      <c r="N370" s="7">
        <f t="shared" si="45"/>
        <v>1.2777106242710874E-2</v>
      </c>
      <c r="O370" s="8">
        <v>73.532597640000006</v>
      </c>
      <c r="P370" s="8">
        <f t="shared" si="46"/>
        <v>1.5559111214802693E-3</v>
      </c>
      <c r="Q370" s="8">
        <v>0.464377388</v>
      </c>
      <c r="R370" s="8">
        <f t="shared" si="47"/>
        <v>9.8259814795406983E-6</v>
      </c>
      <c r="S370" s="8">
        <v>55.66311529</v>
      </c>
      <c r="T370" s="8">
        <f t="shared" si="48"/>
        <v>1.1778022661453936E-3</v>
      </c>
      <c r="U370" s="8">
        <v>0.166371299</v>
      </c>
      <c r="V370" s="8">
        <f t="shared" si="49"/>
        <v>3.5203292514775245E-6</v>
      </c>
      <c r="W370" s="8">
        <v>0.113486762</v>
      </c>
      <c r="X370" s="8">
        <f t="shared" si="50"/>
        <v>7.4488316874945527E-11</v>
      </c>
      <c r="Y370" s="8">
        <v>2.3612767999999999E-2</v>
      </c>
      <c r="Z370" s="8">
        <f t="shared" si="51"/>
        <v>4.9963376134216777E-7</v>
      </c>
      <c r="AA370" s="8">
        <v>0.22790186400000001</v>
      </c>
      <c r="AB370" s="8">
        <f t="shared" si="52"/>
        <v>4.8222836698861899E-6</v>
      </c>
      <c r="AC370" s="8">
        <v>11.80752483</v>
      </c>
      <c r="AD370" s="18">
        <f t="shared" si="53"/>
        <v>2.4984102003432809E-4</v>
      </c>
      <c r="AE370" s="9">
        <v>93.3</v>
      </c>
      <c r="AF370" s="10">
        <v>91.4</v>
      </c>
      <c r="AG370" s="10">
        <v>87.6</v>
      </c>
      <c r="AH370" s="10">
        <v>97.6</v>
      </c>
      <c r="AI370" s="10">
        <v>94.8</v>
      </c>
      <c r="AJ370" s="10">
        <v>94.1</v>
      </c>
      <c r="AK370" s="11">
        <v>47260.152990000002</v>
      </c>
      <c r="AL370" s="11">
        <v>44.539925799999999</v>
      </c>
      <c r="AM370" s="11">
        <v>10139.098959999999</v>
      </c>
      <c r="AN370" s="11">
        <v>9.6</v>
      </c>
      <c r="AO370" s="11">
        <v>85.8</v>
      </c>
      <c r="AP370" s="19">
        <v>3.56056595</v>
      </c>
    </row>
    <row r="371" spans="2:42">
      <c r="B371" t="s">
        <v>41</v>
      </c>
      <c r="C371" t="s">
        <v>42</v>
      </c>
      <c r="D371" t="s">
        <v>43</v>
      </c>
      <c r="E371" t="s">
        <v>35</v>
      </c>
      <c r="F371" t="s">
        <v>36</v>
      </c>
      <c r="G371" t="s">
        <v>37</v>
      </c>
      <c r="H371" t="s">
        <v>38</v>
      </c>
      <c r="I371" t="s">
        <v>39</v>
      </c>
      <c r="J371" t="s">
        <v>40</v>
      </c>
      <c r="K371">
        <v>2016</v>
      </c>
      <c r="L371">
        <v>0.37706650857922602</v>
      </c>
      <c r="M371" s="7">
        <v>82.717423460000006</v>
      </c>
      <c r="N371" s="7">
        <f t="shared" si="45"/>
        <v>1.5786411487641512E-3</v>
      </c>
      <c r="O371" s="8">
        <v>5.4717629050000003</v>
      </c>
      <c r="P371" s="8">
        <f t="shared" si="46"/>
        <v>1.0442721396286427E-4</v>
      </c>
      <c r="Q371" s="8">
        <v>0.72277445799999995</v>
      </c>
      <c r="R371" s="8">
        <f t="shared" si="47"/>
        <v>1.3793968101850577E-5</v>
      </c>
      <c r="S371" s="8">
        <v>0.75184874099999999</v>
      </c>
      <c r="T371" s="8">
        <f t="shared" si="48"/>
        <v>1.4348843454524117E-5</v>
      </c>
      <c r="U371" s="8">
        <v>6.3435185000000005E-2</v>
      </c>
      <c r="V371" s="8">
        <f t="shared" si="49"/>
        <v>1.210644494613547E-6</v>
      </c>
      <c r="W371" s="8">
        <v>8.5956289000000005E-2</v>
      </c>
      <c r="X371" s="8">
        <f t="shared" si="50"/>
        <v>2.3104844611678683E-11</v>
      </c>
      <c r="Y371" s="8">
        <v>1.8200448000000001E-2</v>
      </c>
      <c r="Z371" s="8">
        <f t="shared" si="51"/>
        <v>3.4735095626662302E-7</v>
      </c>
      <c r="AA371" s="8">
        <v>2.8607178E-2</v>
      </c>
      <c r="AB371" s="8">
        <f t="shared" si="52"/>
        <v>5.4596077164636273E-7</v>
      </c>
      <c r="AC371" s="8">
        <v>1.901751832</v>
      </c>
      <c r="AD371" s="18">
        <f t="shared" si="53"/>
        <v>3.6294453709436281E-5</v>
      </c>
      <c r="AE371" s="9">
        <v>91</v>
      </c>
      <c r="AF371" s="10">
        <v>91</v>
      </c>
      <c r="AG371" s="10">
        <v>77.099999999999994</v>
      </c>
      <c r="AH371" s="10">
        <v>91.4</v>
      </c>
      <c r="AI371" s="10">
        <v>95.7</v>
      </c>
      <c r="AJ371" s="10">
        <v>93.6</v>
      </c>
      <c r="AK371" s="11">
        <v>52397.863519999999</v>
      </c>
      <c r="AL371" s="11">
        <v>32.357852600000001</v>
      </c>
      <c r="AM371" s="11">
        <v>8255.7789769999999</v>
      </c>
      <c r="AN371" s="11">
        <v>34.6</v>
      </c>
      <c r="AO371" s="11">
        <v>57.905000000000001</v>
      </c>
      <c r="AP371" s="19">
        <v>-7.2398990000000003</v>
      </c>
    </row>
    <row r="372" spans="2:42">
      <c r="B372" t="s">
        <v>44</v>
      </c>
      <c r="C372" t="s">
        <v>45</v>
      </c>
      <c r="D372" t="s">
        <v>46</v>
      </c>
      <c r="E372" t="s">
        <v>35</v>
      </c>
      <c r="F372" t="s">
        <v>36</v>
      </c>
      <c r="G372" t="s">
        <v>37</v>
      </c>
      <c r="H372" t="s">
        <v>38</v>
      </c>
      <c r="I372" t="s">
        <v>39</v>
      </c>
      <c r="J372" t="s">
        <v>40</v>
      </c>
      <c r="K372">
        <v>2016</v>
      </c>
      <c r="L372">
        <v>3.9387540297756603E-2</v>
      </c>
      <c r="M372" s="7">
        <v>53.128275000000002</v>
      </c>
      <c r="N372" s="7">
        <f t="shared" si="45"/>
        <v>3.6549944011964471E-3</v>
      </c>
      <c r="O372" s="8">
        <v>7.8076676999999997</v>
      </c>
      <c r="P372" s="8">
        <f t="shared" si="46"/>
        <v>5.3713360220903727E-4</v>
      </c>
      <c r="Q372" s="8">
        <v>2.9333334999999999E-2</v>
      </c>
      <c r="R372" s="8">
        <f t="shared" si="47"/>
        <v>2.0180059524503623E-6</v>
      </c>
      <c r="S372" s="8">
        <v>4.7901796719999998</v>
      </c>
      <c r="T372" s="8">
        <f t="shared" si="48"/>
        <v>3.2954354121011894E-4</v>
      </c>
      <c r="U372" s="8">
        <v>1.74669E-3</v>
      </c>
      <c r="V372" s="8">
        <f t="shared" si="49"/>
        <v>1.2016468011855875E-7</v>
      </c>
      <c r="W372" s="8">
        <v>1.4525919E-2</v>
      </c>
      <c r="X372" s="8">
        <f t="shared" si="50"/>
        <v>8.2668077037113331E-12</v>
      </c>
      <c r="Y372" s="8">
        <v>4.0942700000000002E-4</v>
      </c>
      <c r="Z372" s="8">
        <f t="shared" si="51"/>
        <v>2.8166798050541971E-8</v>
      </c>
      <c r="AA372" s="8">
        <v>3.0003585999999999E-2</v>
      </c>
      <c r="AB372" s="8">
        <f t="shared" si="52"/>
        <v>2.064116308045313E-6</v>
      </c>
      <c r="AC372" s="8">
        <v>2.7767963099999999</v>
      </c>
      <c r="AD372" s="18">
        <f t="shared" si="53"/>
        <v>1.9103151695237523E-4</v>
      </c>
      <c r="AE372" s="9">
        <v>19.5</v>
      </c>
      <c r="AF372" s="10">
        <v>46.7</v>
      </c>
      <c r="AG372" s="10">
        <v>18.100000000000001</v>
      </c>
      <c r="AH372" s="10">
        <v>39</v>
      </c>
      <c r="AI372" s="10">
        <v>31.9</v>
      </c>
      <c r="AJ372" s="10">
        <v>6.4</v>
      </c>
      <c r="AK372" s="11">
        <v>14535.802019999999</v>
      </c>
      <c r="AL372" s="11">
        <v>57.7355752</v>
      </c>
      <c r="AM372" s="11">
        <v>2215.6606419999998</v>
      </c>
      <c r="AN372" s="11">
        <v>1.9</v>
      </c>
      <c r="AO372" s="11">
        <v>55.021000000000001</v>
      </c>
      <c r="AP372" s="19">
        <v>11.8828172</v>
      </c>
    </row>
    <row r="373" spans="2:42">
      <c r="B373" t="s">
        <v>47</v>
      </c>
      <c r="C373" t="s">
        <v>48</v>
      </c>
      <c r="D373" t="s">
        <v>49</v>
      </c>
      <c r="E373" t="s">
        <v>35</v>
      </c>
      <c r="F373" t="s">
        <v>36</v>
      </c>
      <c r="G373" t="s">
        <v>37</v>
      </c>
      <c r="H373" t="s">
        <v>38</v>
      </c>
      <c r="I373" t="s">
        <v>39</v>
      </c>
      <c r="J373" t="s">
        <v>40</v>
      </c>
      <c r="K373">
        <v>2016</v>
      </c>
      <c r="L373">
        <v>1.1762093539649101</v>
      </c>
      <c r="M373" s="7">
        <v>3.1728472000000001E-2</v>
      </c>
      <c r="N373" s="7">
        <f t="shared" si="45"/>
        <v>6.5534990646028255E-7</v>
      </c>
      <c r="O373" s="8">
        <v>7.1552866420000001</v>
      </c>
      <c r="P373" s="8">
        <f t="shared" si="46"/>
        <v>1.4779206611434704E-4</v>
      </c>
      <c r="Q373" s="8">
        <v>0.32469895599999998</v>
      </c>
      <c r="R373" s="8">
        <f t="shared" si="47"/>
        <v>6.7066397159734446E-6</v>
      </c>
      <c r="S373" s="8">
        <v>2.5424406529999999</v>
      </c>
      <c r="T373" s="8">
        <f t="shared" si="48"/>
        <v>5.2513976850961168E-5</v>
      </c>
      <c r="U373" s="8">
        <v>4.8609213999999998E-2</v>
      </c>
      <c r="V373" s="8">
        <f t="shared" si="49"/>
        <v>1.0040207372106622E-6</v>
      </c>
      <c r="W373" s="8">
        <v>7.3912018999999995E-2</v>
      </c>
      <c r="X373" s="8">
        <f t="shared" si="50"/>
        <v>2.0737995079472825E-11</v>
      </c>
      <c r="Y373" s="8">
        <v>5.5901515999999998E-2</v>
      </c>
      <c r="Z373" s="8">
        <f t="shared" si="51"/>
        <v>1.1546428482779752E-6</v>
      </c>
      <c r="AA373" s="8">
        <v>3.0255732E-2</v>
      </c>
      <c r="AB373" s="8">
        <f t="shared" si="52"/>
        <v>6.2493053986612959E-7</v>
      </c>
      <c r="AC373" s="8">
        <v>2.5374052580000002</v>
      </c>
      <c r="AD373" s="18">
        <f t="shared" si="53"/>
        <v>5.2409971034285206E-5</v>
      </c>
      <c r="AE373" s="9">
        <v>91.9</v>
      </c>
      <c r="AF373" s="10">
        <v>89.5</v>
      </c>
      <c r="AG373" s="10">
        <v>61.4</v>
      </c>
      <c r="AH373" s="10">
        <v>88.6</v>
      </c>
      <c r="AI373" s="10">
        <v>88.6</v>
      </c>
      <c r="AJ373" s="10">
        <v>95.6</v>
      </c>
      <c r="AK373" s="11">
        <v>48414.551809999997</v>
      </c>
      <c r="AL373" s="11">
        <v>44.532357500000003</v>
      </c>
      <c r="AM373" s="11">
        <v>7754.1018240000003</v>
      </c>
      <c r="AN373" s="11">
        <v>9.1999999999999993</v>
      </c>
      <c r="AO373" s="11">
        <v>97.918999999999997</v>
      </c>
      <c r="AP373" s="19">
        <v>12.131942</v>
      </c>
    </row>
    <row r="374" spans="2:42">
      <c r="B374" t="s">
        <v>50</v>
      </c>
      <c r="C374" t="s">
        <v>51</v>
      </c>
      <c r="D374" t="s">
        <v>52</v>
      </c>
      <c r="E374" t="s">
        <v>35</v>
      </c>
      <c r="F374" t="s">
        <v>36</v>
      </c>
      <c r="G374" t="s">
        <v>37</v>
      </c>
      <c r="H374" t="s">
        <v>38</v>
      </c>
      <c r="I374" t="s">
        <v>39</v>
      </c>
      <c r="J374" t="s">
        <v>40</v>
      </c>
      <c r="K374">
        <v>2016</v>
      </c>
      <c r="L374">
        <v>0.65982362959008101</v>
      </c>
      <c r="M374" s="7">
        <v>234.10504649999999</v>
      </c>
      <c r="N374" s="7">
        <f t="shared" si="45"/>
        <v>1.1284672306037186E-2</v>
      </c>
      <c r="O374" s="8">
        <v>2.094745063</v>
      </c>
      <c r="P374" s="8">
        <f t="shared" si="46"/>
        <v>1.0097395145492611E-4</v>
      </c>
      <c r="Q374" s="8">
        <v>0.32798365699999998</v>
      </c>
      <c r="R374" s="8">
        <f t="shared" si="47"/>
        <v>1.5809945775691339E-5</v>
      </c>
      <c r="S374" s="8">
        <v>1.0652774119999999</v>
      </c>
      <c r="T374" s="8">
        <f t="shared" si="48"/>
        <v>5.1350052846653887E-5</v>
      </c>
      <c r="U374" s="8">
        <v>1.4104241999999999E-2</v>
      </c>
      <c r="V374" s="8">
        <f t="shared" si="49"/>
        <v>6.7987320852157086E-7</v>
      </c>
      <c r="W374" s="8">
        <v>9.9941890000000005E-3</v>
      </c>
      <c r="X374" s="8">
        <f t="shared" si="50"/>
        <v>3.2772238285858633E-11</v>
      </c>
      <c r="Y374" s="8">
        <v>7.2997460000000002E-3</v>
      </c>
      <c r="Z374" s="8">
        <f t="shared" si="51"/>
        <v>3.5187298505034887E-7</v>
      </c>
      <c r="AA374" s="8">
        <v>5.1695092999999998E-2</v>
      </c>
      <c r="AB374" s="8">
        <f t="shared" si="52"/>
        <v>2.4918821403327449E-6</v>
      </c>
      <c r="AC374" s="8">
        <v>6.1420493709999997</v>
      </c>
      <c r="AD374" s="18">
        <f t="shared" si="53"/>
        <v>2.9606800654439038E-4</v>
      </c>
      <c r="AE374" s="9">
        <v>47.6</v>
      </c>
      <c r="AF374" s="10">
        <v>56.2</v>
      </c>
      <c r="AG374" s="10">
        <v>49</v>
      </c>
      <c r="AH374" s="10">
        <v>74.3</v>
      </c>
      <c r="AI374" s="10">
        <v>49.5</v>
      </c>
      <c r="AJ374" s="10">
        <v>58.6</v>
      </c>
      <c r="AK374" s="11">
        <v>20745.4005</v>
      </c>
      <c r="AL374" s="11">
        <v>46.250921200000001</v>
      </c>
      <c r="AM374" s="11">
        <v>5124.6428310000001</v>
      </c>
      <c r="AN374" s="11">
        <v>17.7</v>
      </c>
      <c r="AO374" s="11">
        <v>74.328999999999994</v>
      </c>
      <c r="AP374" s="19">
        <v>2.7599604000000002</v>
      </c>
    </row>
    <row r="375" spans="2:42">
      <c r="B375" t="s">
        <v>53</v>
      </c>
      <c r="C375" t="s">
        <v>54</v>
      </c>
      <c r="D375" t="s">
        <v>55</v>
      </c>
      <c r="E375" t="s">
        <v>35</v>
      </c>
      <c r="F375" t="s">
        <v>36</v>
      </c>
      <c r="G375" t="s">
        <v>37</v>
      </c>
      <c r="H375" t="s">
        <v>38</v>
      </c>
      <c r="I375" t="s">
        <v>39</v>
      </c>
      <c r="J375" t="s">
        <v>40</v>
      </c>
      <c r="K375">
        <v>2016</v>
      </c>
      <c r="L375">
        <v>0.72568481907249205</v>
      </c>
      <c r="M375" s="7">
        <v>12.14795013</v>
      </c>
      <c r="N375" s="7">
        <f t="shared" si="45"/>
        <v>2.6141125653163493E-4</v>
      </c>
      <c r="O375" s="8">
        <v>31.023412690000001</v>
      </c>
      <c r="P375" s="8">
        <f t="shared" si="46"/>
        <v>6.675915859388179E-4</v>
      </c>
      <c r="Q375" s="8">
        <v>1.0645526750000001</v>
      </c>
      <c r="R375" s="8">
        <f t="shared" si="47"/>
        <v>2.2908066746884419E-5</v>
      </c>
      <c r="S375" s="8">
        <v>74.213714260000003</v>
      </c>
      <c r="T375" s="8">
        <f t="shared" si="48"/>
        <v>1.5970019706185866E-3</v>
      </c>
      <c r="U375" s="8">
        <v>0.26525759999999998</v>
      </c>
      <c r="V375" s="8">
        <f t="shared" si="49"/>
        <v>5.7080677627514929E-6</v>
      </c>
      <c r="W375" s="8">
        <v>0.16378164200000001</v>
      </c>
      <c r="X375" s="8">
        <f t="shared" si="50"/>
        <v>1.2283168355652332E-10</v>
      </c>
      <c r="Y375" s="8">
        <v>0.15036049600000001</v>
      </c>
      <c r="Z375" s="8">
        <f t="shared" si="51"/>
        <v>3.2356015435897969E-6</v>
      </c>
      <c r="AA375" s="8">
        <v>0.64220761900000001</v>
      </c>
      <c r="AB375" s="8">
        <f t="shared" si="52"/>
        <v>1.3819640255386815E-5</v>
      </c>
      <c r="AC375" s="8">
        <v>19.202508760000001</v>
      </c>
      <c r="AD375" s="18">
        <f t="shared" si="53"/>
        <v>4.1321802360011234E-4</v>
      </c>
      <c r="AE375" s="9">
        <v>96.2</v>
      </c>
      <c r="AF375" s="10">
        <v>94.8</v>
      </c>
      <c r="AG375" s="10">
        <v>92.9</v>
      </c>
      <c r="AH375" s="10">
        <v>94.3</v>
      </c>
      <c r="AI375" s="10">
        <v>96.7</v>
      </c>
      <c r="AJ375" s="10">
        <v>96.1</v>
      </c>
      <c r="AK375" s="11">
        <v>46470.646639999999</v>
      </c>
      <c r="AL375" s="11">
        <v>6.47475515</v>
      </c>
      <c r="AM375" s="11">
        <v>15748.278979999999</v>
      </c>
      <c r="AN375" s="11">
        <v>22.1</v>
      </c>
      <c r="AO375" s="11">
        <v>81.3</v>
      </c>
      <c r="AP375" s="19">
        <v>2.2383501200000002</v>
      </c>
    </row>
    <row r="376" spans="2:42">
      <c r="B376" t="s">
        <v>56</v>
      </c>
      <c r="C376" t="s">
        <v>57</v>
      </c>
      <c r="D376" t="s">
        <v>58</v>
      </c>
      <c r="E376" t="s">
        <v>35</v>
      </c>
      <c r="F376" t="s">
        <v>36</v>
      </c>
      <c r="G376" t="s">
        <v>37</v>
      </c>
      <c r="H376" t="s">
        <v>38</v>
      </c>
      <c r="I376" t="s">
        <v>39</v>
      </c>
      <c r="J376" t="s">
        <v>40</v>
      </c>
      <c r="K376">
        <v>2016</v>
      </c>
      <c r="L376">
        <v>8.9585564313085397E-2</v>
      </c>
      <c r="M376" s="7">
        <v>750.60088210000004</v>
      </c>
      <c r="N376" s="7">
        <f t="shared" si="45"/>
        <v>3.2274880825164109E-2</v>
      </c>
      <c r="O376" s="8">
        <v>6.5482060100000004</v>
      </c>
      <c r="P376" s="8">
        <f t="shared" si="46"/>
        <v>2.8156450869080767E-4</v>
      </c>
      <c r="Q376" s="8">
        <v>0.63541002899999999</v>
      </c>
      <c r="R376" s="8">
        <f t="shared" si="47"/>
        <v>2.7321821023861901E-5</v>
      </c>
      <c r="S376" s="8">
        <v>1.6250715739999999</v>
      </c>
      <c r="T376" s="8">
        <f t="shared" si="48"/>
        <v>6.9876005523031407E-5</v>
      </c>
      <c r="U376" s="8">
        <v>9.4174614000000004E-2</v>
      </c>
      <c r="V376" s="8">
        <f t="shared" si="49"/>
        <v>4.0493883181993017E-6</v>
      </c>
      <c r="W376" s="8">
        <v>0.161672551</v>
      </c>
      <c r="X376" s="8">
        <f t="shared" si="50"/>
        <v>1.7411853423226103E-10</v>
      </c>
      <c r="Y376" s="8">
        <v>2.8102478E-2</v>
      </c>
      <c r="Z376" s="8">
        <f t="shared" si="51"/>
        <v>1.2083707200079723E-6</v>
      </c>
      <c r="AA376" s="8">
        <v>6.3116744000000002E-2</v>
      </c>
      <c r="AB376" s="8">
        <f t="shared" si="52"/>
        <v>2.7139395106665992E-6</v>
      </c>
      <c r="AC376" s="8">
        <v>11.21536865</v>
      </c>
      <c r="AD376" s="18">
        <f t="shared" si="53"/>
        <v>4.8224655102497866E-4</v>
      </c>
      <c r="AE376" s="9">
        <v>80.5</v>
      </c>
      <c r="AF376" s="10">
        <v>76.2</v>
      </c>
      <c r="AG376" s="10">
        <v>60.5</v>
      </c>
      <c r="AH376" s="10">
        <v>90</v>
      </c>
      <c r="AI376" s="10">
        <v>80</v>
      </c>
      <c r="AJ376" s="10">
        <v>77.8</v>
      </c>
      <c r="AK376" s="11">
        <v>23256.5036</v>
      </c>
      <c r="AL376" s="11">
        <v>16.997348500000001</v>
      </c>
      <c r="AM376" s="11">
        <v>4185.5846600000004</v>
      </c>
      <c r="AN376" s="11">
        <v>24.6</v>
      </c>
      <c r="AO376" s="11">
        <v>87.421999999999997</v>
      </c>
      <c r="AP376" s="19">
        <v>4.5570748800000001</v>
      </c>
    </row>
    <row r="377" spans="2:42">
      <c r="B377" t="s">
        <v>59</v>
      </c>
      <c r="C377" t="s">
        <v>60</v>
      </c>
      <c r="D377" t="s">
        <v>61</v>
      </c>
      <c r="E377" t="s">
        <v>35</v>
      </c>
      <c r="F377" t="s">
        <v>36</v>
      </c>
      <c r="G377" t="s">
        <v>37</v>
      </c>
      <c r="H377" t="s">
        <v>38</v>
      </c>
      <c r="I377" t="s">
        <v>39</v>
      </c>
      <c r="J377" t="s">
        <v>40</v>
      </c>
      <c r="K377">
        <v>2016</v>
      </c>
      <c r="L377">
        <v>0.14845640336927801</v>
      </c>
      <c r="M377" s="7">
        <v>0.290766513</v>
      </c>
      <c r="N377" s="7">
        <f t="shared" si="45"/>
        <v>1.1268211362002471E-5</v>
      </c>
      <c r="O377" s="8">
        <v>1.6900076959999999</v>
      </c>
      <c r="P377" s="8">
        <f t="shared" si="46"/>
        <v>6.5493662683016105E-5</v>
      </c>
      <c r="Q377" s="8">
        <v>0.40551856600000002</v>
      </c>
      <c r="R377" s="8">
        <f t="shared" si="47"/>
        <v>1.5715251614631943E-5</v>
      </c>
      <c r="S377" s="8">
        <v>0.33940316799999998</v>
      </c>
      <c r="T377" s="8">
        <f t="shared" si="48"/>
        <v>1.3153050516368208E-5</v>
      </c>
      <c r="U377" s="8">
        <v>3.1279509999999999E-3</v>
      </c>
      <c r="V377" s="8">
        <f t="shared" si="49"/>
        <v>1.2121895549226121E-7</v>
      </c>
      <c r="W377" s="8">
        <v>5.9658569999999998E-3</v>
      </c>
      <c r="X377" s="8">
        <f t="shared" si="50"/>
        <v>4.6976551648778402E-12</v>
      </c>
      <c r="Y377" s="8">
        <v>1.499942E-3</v>
      </c>
      <c r="Z377" s="8">
        <f t="shared" si="51"/>
        <v>5.8127957419720858E-8</v>
      </c>
      <c r="AA377" s="8">
        <v>1.4018868E-2</v>
      </c>
      <c r="AB377" s="8">
        <f t="shared" si="52"/>
        <v>5.4327978160268023E-7</v>
      </c>
      <c r="AC377" s="8">
        <v>1.567620588</v>
      </c>
      <c r="AD377" s="18">
        <f t="shared" si="53"/>
        <v>6.075073755487997E-5</v>
      </c>
      <c r="AE377" s="9">
        <v>61</v>
      </c>
      <c r="AF377" s="10">
        <v>68.099999999999994</v>
      </c>
      <c r="AG377" s="10">
        <v>67.599999999999994</v>
      </c>
      <c r="AH377" s="10">
        <v>63.3</v>
      </c>
      <c r="AI377" s="10">
        <v>62.4</v>
      </c>
      <c r="AJ377" s="10">
        <v>65</v>
      </c>
      <c r="AK377" s="11">
        <v>25804.14084</v>
      </c>
      <c r="AL377" s="11">
        <v>27.624901699999999</v>
      </c>
      <c r="AM377" s="11">
        <v>4028.6184090000002</v>
      </c>
      <c r="AN377" s="11">
        <v>31.8</v>
      </c>
      <c r="AO377" s="11">
        <v>56.402999999999999</v>
      </c>
      <c r="AP377" s="19">
        <v>2.9901422900000001</v>
      </c>
    </row>
    <row r="378" spans="2:42">
      <c r="B378" t="s">
        <v>62</v>
      </c>
      <c r="C378" t="s">
        <v>63</v>
      </c>
      <c r="D378" t="s">
        <v>64</v>
      </c>
      <c r="E378" t="s">
        <v>35</v>
      </c>
      <c r="F378" t="s">
        <v>36</v>
      </c>
      <c r="G378" t="s">
        <v>37</v>
      </c>
      <c r="H378" t="s">
        <v>38</v>
      </c>
      <c r="I378" t="s">
        <v>39</v>
      </c>
      <c r="J378" t="s">
        <v>40</v>
      </c>
      <c r="K378">
        <v>2016</v>
      </c>
      <c r="L378">
        <v>0.244595651163282</v>
      </c>
      <c r="M378" s="7">
        <v>8.7980768779999998</v>
      </c>
      <c r="N378" s="7">
        <f t="shared" si="45"/>
        <v>2.4522384352484327E-4</v>
      </c>
      <c r="O378" s="8">
        <v>0.37459728399999997</v>
      </c>
      <c r="P378" s="8">
        <f t="shared" si="46"/>
        <v>1.044093919958212E-5</v>
      </c>
      <c r="Q378" s="8">
        <v>8.0151430000000006E-3</v>
      </c>
      <c r="R378" s="8">
        <f t="shared" si="47"/>
        <v>2.2340156833319764E-7</v>
      </c>
      <c r="S378" s="8">
        <v>5.5139539999999997E-3</v>
      </c>
      <c r="T378" s="8">
        <f t="shared" si="48"/>
        <v>1.53687335499455E-7</v>
      </c>
      <c r="U378" s="8">
        <v>1.511919E-3</v>
      </c>
      <c r="V378" s="8">
        <f t="shared" si="49"/>
        <v>4.2140867080320317E-8</v>
      </c>
      <c r="W378" s="8">
        <v>2.0974269999999998E-3</v>
      </c>
      <c r="X378" s="8">
        <f t="shared" si="50"/>
        <v>1.1745686629252126E-12</v>
      </c>
      <c r="Y378" s="8"/>
      <c r="Z378" s="8">
        <f t="shared" si="51"/>
        <v>0</v>
      </c>
      <c r="AA378" s="8">
        <v>4.1262989999999999E-3</v>
      </c>
      <c r="AB378" s="8">
        <f t="shared" si="52"/>
        <v>1.1501000893080822E-7</v>
      </c>
      <c r="AC378" s="8">
        <v>0.60386911600000004</v>
      </c>
      <c r="AD378" s="18">
        <f t="shared" si="53"/>
        <v>1.6831303893440409E-5</v>
      </c>
      <c r="AE378" s="9">
        <v>76.7</v>
      </c>
      <c r="AF378" s="10">
        <v>77.599999999999994</v>
      </c>
      <c r="AG378" s="10">
        <v>65.2</v>
      </c>
      <c r="AH378" s="10">
        <v>81.900000000000006</v>
      </c>
      <c r="AI378" s="10">
        <v>74.8</v>
      </c>
      <c r="AJ378" s="10">
        <v>82.8</v>
      </c>
      <c r="AK378" s="11">
        <v>35877.738279999998</v>
      </c>
      <c r="AL378" s="11">
        <v>11.8387446</v>
      </c>
      <c r="AM378" s="11">
        <v>3737.7375689999999</v>
      </c>
      <c r="AN378" s="11">
        <v>10.3</v>
      </c>
      <c r="AO378" s="11">
        <v>66.881</v>
      </c>
      <c r="AP378" s="19">
        <v>15.827227000000001</v>
      </c>
    </row>
    <row r="379" spans="2:42">
      <c r="B379" t="s">
        <v>65</v>
      </c>
      <c r="C379" t="s">
        <v>66</v>
      </c>
      <c r="D379" t="s">
        <v>67</v>
      </c>
      <c r="E379" t="s">
        <v>35</v>
      </c>
      <c r="F379" t="s">
        <v>36</v>
      </c>
      <c r="G379" t="s">
        <v>37</v>
      </c>
      <c r="H379" t="s">
        <v>38</v>
      </c>
      <c r="I379" t="s">
        <v>39</v>
      </c>
      <c r="J379" t="s">
        <v>40</v>
      </c>
      <c r="K379">
        <v>2016</v>
      </c>
      <c r="L379">
        <v>0.74923809740220304</v>
      </c>
      <c r="M379" s="7">
        <v>8.7980768779999998</v>
      </c>
      <c r="N379" s="7">
        <f t="shared" si="45"/>
        <v>2.4140664433747522E-4</v>
      </c>
      <c r="O379" s="8">
        <v>5.2382704650000003</v>
      </c>
      <c r="P379" s="8">
        <f t="shared" si="46"/>
        <v>1.4373064848408296E-4</v>
      </c>
      <c r="Q379" s="8">
        <v>0.96098682400000002</v>
      </c>
      <c r="R379" s="8">
        <f t="shared" si="47"/>
        <v>2.6368103808511404E-5</v>
      </c>
      <c r="S379" s="8">
        <v>3.1948808720000001</v>
      </c>
      <c r="T379" s="8">
        <f t="shared" si="48"/>
        <v>8.7662961015502367E-5</v>
      </c>
      <c r="U379" s="8">
        <v>3.4080376000000003E-2</v>
      </c>
      <c r="V379" s="8">
        <f t="shared" si="49"/>
        <v>9.3511676722125453E-7</v>
      </c>
      <c r="W379" s="8">
        <v>4.6609639000000001E-2</v>
      </c>
      <c r="X379" s="8">
        <f t="shared" si="50"/>
        <v>2.5658266456283517E-11</v>
      </c>
      <c r="Y379" s="8">
        <v>1.3556100999999999E-2</v>
      </c>
      <c r="Z379" s="8">
        <f t="shared" si="51"/>
        <v>3.7196002013724302E-7</v>
      </c>
      <c r="AA379" s="8">
        <v>3.877005E-2</v>
      </c>
      <c r="AB379" s="8">
        <f t="shared" si="52"/>
        <v>1.0637947134446638E-6</v>
      </c>
      <c r="AC379" s="8">
        <v>4.7069605069999998</v>
      </c>
      <c r="AD379" s="18">
        <f t="shared" si="53"/>
        <v>1.2915226324803332E-4</v>
      </c>
      <c r="AE379" s="9">
        <v>67.099999999999994</v>
      </c>
      <c r="AF379" s="10">
        <v>78.599999999999994</v>
      </c>
      <c r="AG379" s="10">
        <v>81</v>
      </c>
      <c r="AH379" s="10">
        <v>81</v>
      </c>
      <c r="AI379" s="10">
        <v>81.400000000000006</v>
      </c>
      <c r="AJ379" s="10">
        <v>81.3</v>
      </c>
      <c r="AK379" s="11">
        <v>36445.048569999999</v>
      </c>
      <c r="AL379" s="11">
        <v>45.175495400000003</v>
      </c>
      <c r="AM379" s="11">
        <v>6459.6683130000001</v>
      </c>
      <c r="AN379" s="11">
        <v>14.8</v>
      </c>
      <c r="AO379" s="11">
        <v>73.569999999999993</v>
      </c>
      <c r="AP379" s="19">
        <v>5.4756642099999997</v>
      </c>
    </row>
    <row r="380" spans="2:42">
      <c r="B380" t="s">
        <v>68</v>
      </c>
      <c r="C380" t="s">
        <v>69</v>
      </c>
      <c r="D380" t="s">
        <v>70</v>
      </c>
      <c r="E380" t="s">
        <v>35</v>
      </c>
      <c r="F380" t="s">
        <v>36</v>
      </c>
      <c r="G380" t="s">
        <v>37</v>
      </c>
      <c r="H380" t="s">
        <v>38</v>
      </c>
      <c r="I380" t="s">
        <v>39</v>
      </c>
      <c r="J380" t="s">
        <v>40</v>
      </c>
      <c r="K380">
        <v>2016</v>
      </c>
      <c r="L380">
        <v>0.40316745967020701</v>
      </c>
      <c r="M380" s="7">
        <v>750.60088210000004</v>
      </c>
      <c r="N380" s="7">
        <f t="shared" si="45"/>
        <v>1.4484505807940662E-2</v>
      </c>
      <c r="O380" s="8">
        <v>6.8122426989999996</v>
      </c>
      <c r="P380" s="8">
        <f t="shared" si="46"/>
        <v>1.3145730479653385E-4</v>
      </c>
      <c r="Q380" s="8">
        <v>0.40607185400000001</v>
      </c>
      <c r="R380" s="8">
        <f t="shared" si="47"/>
        <v>7.8360554430052309E-6</v>
      </c>
      <c r="S380" s="8">
        <v>0.445492259</v>
      </c>
      <c r="T380" s="8">
        <f t="shared" si="48"/>
        <v>8.5967594320231967E-6</v>
      </c>
      <c r="U380" s="8">
        <v>8.2025910000000004E-3</v>
      </c>
      <c r="V380" s="8">
        <f t="shared" si="49"/>
        <v>1.5828715341668504E-7</v>
      </c>
      <c r="W380" s="8">
        <v>9.1275655999999997E-2</v>
      </c>
      <c r="X380" s="8">
        <f t="shared" si="50"/>
        <v>3.0545010639634701E-12</v>
      </c>
      <c r="Y380" s="14">
        <v>2.2579199999999999E-7</v>
      </c>
      <c r="Z380" s="8">
        <f t="shared" si="51"/>
        <v>4.3571565306937943E-12</v>
      </c>
      <c r="AA380" s="8">
        <v>1.7109971000000002E-2</v>
      </c>
      <c r="AB380" s="8">
        <f t="shared" si="52"/>
        <v>3.3017477095128014E-7</v>
      </c>
      <c r="AC380" s="8">
        <v>2.2908456789999998</v>
      </c>
      <c r="AD380" s="18">
        <f t="shared" si="53"/>
        <v>4.4206939178830561E-5</v>
      </c>
      <c r="AE380" s="9">
        <v>99.5</v>
      </c>
      <c r="AF380" s="10">
        <v>98.1</v>
      </c>
      <c r="AG380" s="10">
        <v>75.2</v>
      </c>
      <c r="AH380" s="10">
        <v>92.4</v>
      </c>
      <c r="AI380" s="10">
        <v>97.6</v>
      </c>
      <c r="AJ380" s="10">
        <v>99</v>
      </c>
      <c r="AK380" s="11">
        <v>51820.952129999998</v>
      </c>
      <c r="AL380" s="11">
        <v>65.627499999999998</v>
      </c>
      <c r="AM380" s="11">
        <v>5887.3849730000002</v>
      </c>
      <c r="AN380" s="11">
        <v>32</v>
      </c>
      <c r="AO380" s="11">
        <v>87.641999999999996</v>
      </c>
      <c r="AP380" s="19">
        <v>2.4998317000000001</v>
      </c>
    </row>
    <row r="381" spans="2:42">
      <c r="B381" t="s">
        <v>71</v>
      </c>
      <c r="C381" t="s">
        <v>72</v>
      </c>
      <c r="D381" t="s">
        <v>73</v>
      </c>
      <c r="E381" t="s">
        <v>35</v>
      </c>
      <c r="F381" t="s">
        <v>36</v>
      </c>
      <c r="G381" t="s">
        <v>37</v>
      </c>
      <c r="H381" t="s">
        <v>38</v>
      </c>
      <c r="I381" t="s">
        <v>39</v>
      </c>
      <c r="J381" t="s">
        <v>40</v>
      </c>
      <c r="K381">
        <v>2016</v>
      </c>
      <c r="L381">
        <v>0.16617455041460999</v>
      </c>
      <c r="M381" s="7">
        <v>334.94070019999998</v>
      </c>
      <c r="N381" s="7">
        <f t="shared" si="45"/>
        <v>3.9611625496886266E-2</v>
      </c>
      <c r="O381" s="8">
        <v>1.7726214220000001</v>
      </c>
      <c r="P381" s="8">
        <f t="shared" si="46"/>
        <v>2.0963835053218173E-4</v>
      </c>
      <c r="Q381" s="8">
        <v>6.8506767999999996E-2</v>
      </c>
      <c r="R381" s="8">
        <f t="shared" si="47"/>
        <v>8.1019250165706558E-6</v>
      </c>
      <c r="S381" s="8"/>
      <c r="T381" s="8">
        <f t="shared" si="48"/>
        <v>0</v>
      </c>
      <c r="U381" s="8">
        <v>1.1601070000000001E-3</v>
      </c>
      <c r="V381" s="8">
        <f t="shared" si="49"/>
        <v>1.3719958187487016E-7</v>
      </c>
      <c r="W381" s="8">
        <v>1.1277917E-2</v>
      </c>
      <c r="X381" s="8">
        <f t="shared" si="50"/>
        <v>1.622585267276139E-11</v>
      </c>
      <c r="Y381" s="8"/>
      <c r="Z381" s="8">
        <f t="shared" si="51"/>
        <v>0</v>
      </c>
      <c r="AA381" s="8">
        <v>1.6285866E-2</v>
      </c>
      <c r="AB381" s="8">
        <f t="shared" si="52"/>
        <v>1.9260413096982983E-6</v>
      </c>
      <c r="AC381" s="8">
        <v>1.282289459</v>
      </c>
      <c r="AD381" s="18">
        <f t="shared" si="53"/>
        <v>1.5164944062690206E-4</v>
      </c>
      <c r="AE381" s="9">
        <v>33.299999999999997</v>
      </c>
      <c r="AF381" s="10">
        <v>38.6</v>
      </c>
      <c r="AG381" s="10">
        <v>43.3</v>
      </c>
      <c r="AH381" s="10">
        <v>51.4</v>
      </c>
      <c r="AI381" s="10">
        <v>24.8</v>
      </c>
      <c r="AJ381" s="10">
        <v>53.2</v>
      </c>
      <c r="AK381" s="11">
        <v>8455.6161479999992</v>
      </c>
      <c r="AL381" s="11">
        <v>58.595559899999998</v>
      </c>
      <c r="AM381" s="11">
        <v>1007.9344599999999</v>
      </c>
      <c r="AN381" s="11">
        <v>20.7</v>
      </c>
      <c r="AO381" s="11">
        <v>70.501000000000005</v>
      </c>
      <c r="AP381" s="19">
        <v>1.9819803199999999</v>
      </c>
    </row>
    <row r="382" spans="2:42">
      <c r="B382" t="s">
        <v>74</v>
      </c>
      <c r="C382" t="s">
        <v>75</v>
      </c>
      <c r="D382" t="s">
        <v>76</v>
      </c>
      <c r="E382" t="s">
        <v>35</v>
      </c>
      <c r="F382" t="s">
        <v>36</v>
      </c>
      <c r="G382" t="s">
        <v>37</v>
      </c>
      <c r="H382" t="s">
        <v>38</v>
      </c>
      <c r="I382" t="s">
        <v>39</v>
      </c>
      <c r="J382" t="s">
        <v>40</v>
      </c>
      <c r="K382">
        <v>2016</v>
      </c>
      <c r="L382">
        <v>0.59224108994431701</v>
      </c>
      <c r="M382" s="7">
        <v>6.0919687859999998</v>
      </c>
      <c r="N382" s="7">
        <f t="shared" si="45"/>
        <v>1.9068521741470991E-4</v>
      </c>
      <c r="O382" s="8">
        <v>0.86912663199999995</v>
      </c>
      <c r="P382" s="8">
        <f t="shared" si="46"/>
        <v>2.7204604390734741E-5</v>
      </c>
      <c r="Q382" s="8">
        <v>0.142954201</v>
      </c>
      <c r="R382" s="8">
        <f t="shared" si="47"/>
        <v>4.474621235859882E-6</v>
      </c>
      <c r="S382" s="8">
        <v>5.4942896999999997E-2</v>
      </c>
      <c r="T382" s="8">
        <f t="shared" si="48"/>
        <v>1.719772150493585E-6</v>
      </c>
      <c r="U382" s="8">
        <v>1.6455770000000001E-3</v>
      </c>
      <c r="V382" s="8">
        <f t="shared" si="49"/>
        <v>5.1508341398393721E-8</v>
      </c>
      <c r="W382" s="8">
        <v>2.8372352E-2</v>
      </c>
      <c r="X382" s="8">
        <f t="shared" si="50"/>
        <v>1.6122668423376605E-12</v>
      </c>
      <c r="Y382" s="8"/>
      <c r="Z382" s="8">
        <f t="shared" si="51"/>
        <v>0</v>
      </c>
      <c r="AA382" s="8">
        <v>3.6129040000000001E-3</v>
      </c>
      <c r="AB382" s="8">
        <f t="shared" si="52"/>
        <v>1.1308780608359394E-7</v>
      </c>
      <c r="AC382" s="8">
        <v>1.6251924129999999</v>
      </c>
      <c r="AD382" s="18">
        <f t="shared" si="53"/>
        <v>5.0870281759457792E-5</v>
      </c>
      <c r="AE382" s="9">
        <v>88.1</v>
      </c>
      <c r="AF382" s="10">
        <v>81.900000000000006</v>
      </c>
      <c r="AG382" s="10">
        <v>68.099999999999994</v>
      </c>
      <c r="AH382" s="10">
        <v>93.3</v>
      </c>
      <c r="AI382" s="10">
        <v>85.7</v>
      </c>
      <c r="AJ382" s="10">
        <v>89.2</v>
      </c>
      <c r="AK382" s="11">
        <v>31947.77691</v>
      </c>
      <c r="AL382" s="11">
        <v>23.0733839</v>
      </c>
      <c r="AM382" s="11">
        <v>7150.8371399999996</v>
      </c>
      <c r="AN382" s="11">
        <v>27.2</v>
      </c>
      <c r="AO382" s="11">
        <v>68.563000000000002</v>
      </c>
      <c r="AP382" s="19">
        <v>3.7692325599999998</v>
      </c>
    </row>
    <row r="383" spans="2:42">
      <c r="B383" t="s">
        <v>77</v>
      </c>
      <c r="C383" t="s">
        <v>78</v>
      </c>
      <c r="D383" t="s">
        <v>79</v>
      </c>
      <c r="E383" t="s">
        <v>35</v>
      </c>
      <c r="F383" t="s">
        <v>36</v>
      </c>
      <c r="G383" t="s">
        <v>37</v>
      </c>
      <c r="H383" t="s">
        <v>38</v>
      </c>
      <c r="I383" t="s">
        <v>39</v>
      </c>
      <c r="J383" t="s">
        <v>40</v>
      </c>
      <c r="K383">
        <v>2016</v>
      </c>
      <c r="L383">
        <v>0.22664790959828601</v>
      </c>
      <c r="M383" s="7">
        <v>13.170161569999999</v>
      </c>
      <c r="N383" s="7">
        <f t="shared" si="45"/>
        <v>2.9554425349500652E-4</v>
      </c>
      <c r="O383" s="8">
        <v>2.6443061980000002</v>
      </c>
      <c r="P383" s="8">
        <f t="shared" si="46"/>
        <v>5.9339401202207804E-5</v>
      </c>
      <c r="Q383" s="8">
        <v>0.57450315699999999</v>
      </c>
      <c r="R383" s="8">
        <f t="shared" si="47"/>
        <v>1.2892105063680667E-5</v>
      </c>
      <c r="S383" s="8">
        <v>0.117792457</v>
      </c>
      <c r="T383" s="8">
        <f t="shared" si="48"/>
        <v>2.6433148588478292E-6</v>
      </c>
      <c r="U383" s="8">
        <v>0.149945998</v>
      </c>
      <c r="V383" s="8">
        <f t="shared" si="49"/>
        <v>3.3648545469950327E-6</v>
      </c>
      <c r="W383" s="8">
        <v>0.13942853899999999</v>
      </c>
      <c r="X383" s="8">
        <f t="shared" si="50"/>
        <v>7.5508825000005318E-11</v>
      </c>
      <c r="Y383" s="8">
        <v>3.7828674999999999E-2</v>
      </c>
      <c r="Z383" s="8">
        <f t="shared" si="51"/>
        <v>8.4889220638317625E-7</v>
      </c>
      <c r="AA383" s="8">
        <v>2.3032301000000002E-2</v>
      </c>
      <c r="AB383" s="8">
        <f t="shared" si="52"/>
        <v>5.1685502635160856E-7</v>
      </c>
      <c r="AC383" s="8">
        <v>3.8168470659999998</v>
      </c>
      <c r="AD383" s="18">
        <f t="shared" si="53"/>
        <v>8.5651737135490272E-5</v>
      </c>
      <c r="AE383" s="9">
        <v>99</v>
      </c>
      <c r="AF383" s="10">
        <v>99</v>
      </c>
      <c r="AG383" s="10">
        <v>84.8</v>
      </c>
      <c r="AH383" s="10">
        <v>96.2</v>
      </c>
      <c r="AI383" s="10">
        <v>100</v>
      </c>
      <c r="AJ383" s="10">
        <v>97</v>
      </c>
      <c r="AK383" s="11">
        <v>44562.401109999999</v>
      </c>
      <c r="AL383" s="11">
        <v>7.4857688099999997</v>
      </c>
      <c r="AM383" s="11">
        <v>15489.955690000001</v>
      </c>
      <c r="AN383" s="11">
        <v>42.4</v>
      </c>
      <c r="AO383" s="11">
        <v>85.275000000000006</v>
      </c>
      <c r="AP383" s="19">
        <v>2.1895196499999998</v>
      </c>
    </row>
    <row r="384" spans="2:42">
      <c r="B384" t="s">
        <v>80</v>
      </c>
      <c r="C384" t="s">
        <v>81</v>
      </c>
      <c r="D384" t="s">
        <v>82</v>
      </c>
      <c r="E384" t="s">
        <v>35</v>
      </c>
      <c r="F384" t="s">
        <v>36</v>
      </c>
      <c r="G384" t="s">
        <v>37</v>
      </c>
      <c r="H384" t="s">
        <v>38</v>
      </c>
      <c r="I384" t="s">
        <v>39</v>
      </c>
      <c r="J384" t="s">
        <v>40</v>
      </c>
      <c r="K384">
        <v>2016</v>
      </c>
      <c r="L384">
        <v>0.94502152740508705</v>
      </c>
      <c r="M384" s="7">
        <v>0.166028117</v>
      </c>
      <c r="N384" s="7">
        <f t="shared" si="45"/>
        <v>3.871903138075936E-6</v>
      </c>
      <c r="O384" s="8">
        <v>48.417776480000001</v>
      </c>
      <c r="P384" s="8">
        <f t="shared" si="46"/>
        <v>1.1291397148807706E-3</v>
      </c>
      <c r="Q384" s="8">
        <v>2.772453118</v>
      </c>
      <c r="R384" s="8">
        <f t="shared" si="47"/>
        <v>6.4655734954535514E-5</v>
      </c>
      <c r="S384" s="8">
        <v>3.2306694540000001</v>
      </c>
      <c r="T384" s="8">
        <f t="shared" si="48"/>
        <v>7.5341691654725392E-5</v>
      </c>
      <c r="U384" s="8">
        <v>0.110293865</v>
      </c>
      <c r="V384" s="8">
        <f t="shared" si="49"/>
        <v>2.572137597657773E-6</v>
      </c>
      <c r="W384" s="8">
        <v>0.19578521199999999</v>
      </c>
      <c r="X384" s="8">
        <f t="shared" si="50"/>
        <v>5.9984223250175333E-11</v>
      </c>
      <c r="Y384" s="8">
        <v>6.2489019E-2</v>
      </c>
      <c r="Z384" s="8">
        <f t="shared" si="51"/>
        <v>1.4572918920798623E-6</v>
      </c>
      <c r="AA384" s="8">
        <v>0.15693499599999999</v>
      </c>
      <c r="AB384" s="8">
        <f t="shared" si="52"/>
        <v>3.6598445761228164E-6</v>
      </c>
      <c r="AC384" s="8">
        <v>18.94600943</v>
      </c>
      <c r="AD384" s="18">
        <f t="shared" si="53"/>
        <v>4.4183548360084862E-4</v>
      </c>
      <c r="AE384" s="9">
        <v>89.5</v>
      </c>
      <c r="AF384" s="10">
        <v>89</v>
      </c>
      <c r="AG384" s="10">
        <v>42.9</v>
      </c>
      <c r="AH384" s="10">
        <v>82.4</v>
      </c>
      <c r="AI384" s="10">
        <v>87.6</v>
      </c>
      <c r="AJ384" s="10">
        <v>85.2</v>
      </c>
      <c r="AK384" s="11">
        <v>42880.235139999997</v>
      </c>
      <c r="AL384" s="11">
        <v>52.447546099999997</v>
      </c>
      <c r="AM384" s="11">
        <v>7269.891552</v>
      </c>
      <c r="AN384" s="11">
        <v>14.2</v>
      </c>
      <c r="AO384" s="11">
        <v>79.917000000000002</v>
      </c>
      <c r="AP384" s="19">
        <v>1.44200321</v>
      </c>
    </row>
    <row r="385" spans="2:42">
      <c r="B385" t="s">
        <v>83</v>
      </c>
      <c r="C385" t="s">
        <v>84</v>
      </c>
      <c r="D385" t="s">
        <v>85</v>
      </c>
      <c r="E385" t="s">
        <v>35</v>
      </c>
      <c r="F385" t="s">
        <v>36</v>
      </c>
      <c r="G385" t="s">
        <v>37</v>
      </c>
      <c r="H385" t="s">
        <v>38</v>
      </c>
      <c r="I385" t="s">
        <v>39</v>
      </c>
      <c r="J385" t="s">
        <v>40</v>
      </c>
      <c r="K385">
        <v>2016</v>
      </c>
      <c r="L385">
        <v>0.55112149879827799</v>
      </c>
      <c r="M385" s="7">
        <v>21.348770630000001</v>
      </c>
      <c r="N385" s="7">
        <f t="shared" si="45"/>
        <v>1.6340061209919213E-3</v>
      </c>
      <c r="O385" s="8">
        <v>2.3541673840000001</v>
      </c>
      <c r="P385" s="8">
        <f t="shared" si="46"/>
        <v>1.8018479761499684E-4</v>
      </c>
      <c r="Q385" s="8">
        <v>0.14156464699999999</v>
      </c>
      <c r="R385" s="8">
        <f t="shared" si="47"/>
        <v>1.0835167219840077E-5</v>
      </c>
      <c r="S385" s="8">
        <v>0.119974909</v>
      </c>
      <c r="T385" s="8">
        <f t="shared" si="48"/>
        <v>9.1827177812275158E-6</v>
      </c>
      <c r="U385" s="8">
        <v>2.45772E-3</v>
      </c>
      <c r="V385" s="8">
        <f t="shared" si="49"/>
        <v>1.8811057523101342E-7</v>
      </c>
      <c r="W385" s="8">
        <v>8.4667900000000003E-4</v>
      </c>
      <c r="X385" s="8">
        <f t="shared" si="50"/>
        <v>1.4397729812078982E-11</v>
      </c>
      <c r="Y385" s="8">
        <v>7.5336800000000001E-3</v>
      </c>
      <c r="Z385" s="8">
        <f t="shared" si="51"/>
        <v>5.7661771007534675E-7</v>
      </c>
      <c r="AA385" s="8">
        <v>2.4273079999999999E-2</v>
      </c>
      <c r="AB385" s="8">
        <f t="shared" si="52"/>
        <v>1.8578288175334889E-6</v>
      </c>
      <c r="AC385" s="8">
        <v>1.510748223</v>
      </c>
      <c r="AD385" s="18">
        <f t="shared" si="53"/>
        <v>1.1563063215409458E-4</v>
      </c>
      <c r="AE385" s="9">
        <v>75.2</v>
      </c>
      <c r="AF385" s="10">
        <v>67.599999999999994</v>
      </c>
      <c r="AG385" s="10">
        <v>33.799999999999997</v>
      </c>
      <c r="AH385" s="10">
        <v>78.599999999999994</v>
      </c>
      <c r="AI385" s="10">
        <v>61.9</v>
      </c>
      <c r="AJ385" s="10">
        <v>55.7</v>
      </c>
      <c r="AK385" s="11">
        <v>13065.294159999999</v>
      </c>
      <c r="AL385" s="11">
        <v>34.451000100000002</v>
      </c>
      <c r="AM385" s="11">
        <v>2873.2355830000001</v>
      </c>
      <c r="AN385" s="11">
        <v>27.2</v>
      </c>
      <c r="AO385" s="11">
        <v>57.837000000000003</v>
      </c>
      <c r="AP385" s="19">
        <v>10.7469894</v>
      </c>
    </row>
    <row r="386" spans="2:42">
      <c r="B386" t="s">
        <v>86</v>
      </c>
      <c r="C386" t="s">
        <v>87</v>
      </c>
      <c r="D386" t="s">
        <v>88</v>
      </c>
      <c r="E386" t="s">
        <v>35</v>
      </c>
      <c r="F386" t="s">
        <v>36</v>
      </c>
      <c r="G386" t="s">
        <v>37</v>
      </c>
      <c r="H386" t="s">
        <v>38</v>
      </c>
      <c r="I386" t="s">
        <v>39</v>
      </c>
      <c r="J386" t="s">
        <v>40</v>
      </c>
      <c r="K386">
        <v>2016</v>
      </c>
      <c r="L386">
        <v>0.55596317397934103</v>
      </c>
      <c r="M386" s="7">
        <v>16.99284609</v>
      </c>
      <c r="N386" s="7">
        <f t="shared" si="45"/>
        <v>3.2951092665337034E-4</v>
      </c>
      <c r="O386" s="8">
        <v>39.29974575</v>
      </c>
      <c r="P386" s="8">
        <f t="shared" si="46"/>
        <v>7.6206749421128621E-4</v>
      </c>
      <c r="Q386" s="8">
        <v>2.9245271979999998</v>
      </c>
      <c r="R386" s="8">
        <f t="shared" si="47"/>
        <v>5.6709962647343941E-5</v>
      </c>
      <c r="S386" s="8">
        <v>11.271748240000001</v>
      </c>
      <c r="T386" s="8">
        <f t="shared" si="48"/>
        <v>2.1857222668259313E-4</v>
      </c>
      <c r="U386" s="8">
        <v>0.21618843300000001</v>
      </c>
      <c r="V386" s="8">
        <f t="shared" si="49"/>
        <v>4.1921435945619204E-6</v>
      </c>
      <c r="W386" s="8">
        <v>0.46234033800000002</v>
      </c>
      <c r="X386" s="8">
        <f t="shared" si="50"/>
        <v>8.1290509735211119E-11</v>
      </c>
      <c r="Y386" s="8">
        <v>0.23910126000000001</v>
      </c>
      <c r="Z386" s="8">
        <f t="shared" si="51"/>
        <v>4.6364497935959612E-6</v>
      </c>
      <c r="AA386" s="8">
        <v>0.27980735099999998</v>
      </c>
      <c r="AB386" s="8">
        <f t="shared" si="52"/>
        <v>5.4257879477112851E-6</v>
      </c>
      <c r="AC386" s="8">
        <v>14.36509467</v>
      </c>
      <c r="AD386" s="18">
        <f t="shared" si="53"/>
        <v>2.785557893660114E-4</v>
      </c>
      <c r="AE386" s="9">
        <v>93.8</v>
      </c>
      <c r="AF386" s="10">
        <v>93.3</v>
      </c>
      <c r="AG386" s="10">
        <v>68.599999999999994</v>
      </c>
      <c r="AH386" s="10">
        <v>96.7</v>
      </c>
      <c r="AI386" s="10">
        <v>91.9</v>
      </c>
      <c r="AJ386" s="10">
        <v>95.1</v>
      </c>
      <c r="AK386" s="11">
        <v>51569.901680000003</v>
      </c>
      <c r="AL386" s="11">
        <v>47.6843371</v>
      </c>
      <c r="AM386" s="11">
        <v>6972.3652730000003</v>
      </c>
      <c r="AN386" s="11">
        <v>14.2</v>
      </c>
      <c r="AO386" s="11">
        <v>77.224000000000004</v>
      </c>
      <c r="AP386" s="19">
        <v>1.6431955600000001</v>
      </c>
    </row>
    <row r="387" spans="2:42">
      <c r="B387" t="s">
        <v>89</v>
      </c>
      <c r="C387" t="s">
        <v>90</v>
      </c>
      <c r="D387" t="s">
        <v>91</v>
      </c>
      <c r="E387" t="s">
        <v>35</v>
      </c>
      <c r="F387" t="s">
        <v>36</v>
      </c>
      <c r="G387" t="s">
        <v>37</v>
      </c>
      <c r="H387" t="s">
        <v>38</v>
      </c>
      <c r="I387" t="s">
        <v>39</v>
      </c>
      <c r="J387" t="s">
        <v>40</v>
      </c>
      <c r="K387">
        <v>2016</v>
      </c>
      <c r="L387">
        <v>1.50778823340631</v>
      </c>
      <c r="M387" s="7">
        <v>0.63470612100000001</v>
      </c>
      <c r="N387" s="7">
        <f t="shared" ref="N387:N450" si="54">M387/AK387</f>
        <v>2.3076404653603893E-5</v>
      </c>
      <c r="O387" s="8">
        <v>4.5288864970000002</v>
      </c>
      <c r="P387" s="8">
        <f t="shared" ref="P387:P450" si="55">O387/AK387</f>
        <v>1.6465953923739556E-4</v>
      </c>
      <c r="Q387" s="8">
        <v>0.27497621100000003</v>
      </c>
      <c r="R387" s="8">
        <f t="shared" ref="R387:R450" si="56">Q387/AK387</f>
        <v>9.9974808895072338E-6</v>
      </c>
      <c r="S387" s="8">
        <v>2.4835728459999999</v>
      </c>
      <c r="T387" s="8">
        <f t="shared" ref="T387:T450" si="57">S387/AK387</f>
        <v>9.0296800495167525E-5</v>
      </c>
      <c r="U387" s="8">
        <v>1.2460618E-2</v>
      </c>
      <c r="V387" s="8">
        <f t="shared" ref="V387:V450" si="58">U387/AK387</f>
        <v>4.5303842784585403E-7</v>
      </c>
      <c r="W387" s="8">
        <v>1.9206543999999999E-2</v>
      </c>
      <c r="X387" s="8">
        <f t="shared" ref="X387:X450" si="59">V387/AK387</f>
        <v>1.6471399500814737E-11</v>
      </c>
      <c r="Y387" s="8">
        <v>2.891504E-3</v>
      </c>
      <c r="Z387" s="8">
        <f t="shared" ref="Z387:Z450" si="60">Y387/AK387</f>
        <v>1.0512820682489411E-7</v>
      </c>
      <c r="AA387" s="8">
        <v>7.0286584999999999E-2</v>
      </c>
      <c r="AB387" s="8">
        <f t="shared" ref="AB387:AB450" si="61">AA387/AK387</f>
        <v>2.555453025448175E-6</v>
      </c>
      <c r="AC387" s="8">
        <v>4.6220198229999996</v>
      </c>
      <c r="AD387" s="18">
        <f t="shared" ref="AD387:AD450" si="62">AC387/AK387</f>
        <v>1.6804564541536321E-4</v>
      </c>
      <c r="AE387" s="9">
        <v>53.3</v>
      </c>
      <c r="AF387" s="10">
        <v>58.6</v>
      </c>
      <c r="AG387" s="10">
        <v>41.4</v>
      </c>
      <c r="AH387" s="10">
        <v>60</v>
      </c>
      <c r="AI387" s="10">
        <v>57.6</v>
      </c>
      <c r="AJ387" s="10">
        <v>70.400000000000006</v>
      </c>
      <c r="AK387" s="11">
        <v>27504.549800000001</v>
      </c>
      <c r="AL387" s="11">
        <v>47.602792899999997</v>
      </c>
      <c r="AM387" s="11">
        <v>5500.8499929999998</v>
      </c>
      <c r="AN387" s="11">
        <v>16.399999999999999</v>
      </c>
      <c r="AO387" s="11">
        <v>78.387</v>
      </c>
      <c r="AP387" s="19">
        <v>1.39750554</v>
      </c>
    </row>
    <row r="388" spans="2:42">
      <c r="B388" t="s">
        <v>92</v>
      </c>
      <c r="C388" t="s">
        <v>93</v>
      </c>
      <c r="D388" t="s">
        <v>94</v>
      </c>
      <c r="E388" t="s">
        <v>35</v>
      </c>
      <c r="F388" t="s">
        <v>36</v>
      </c>
      <c r="G388" t="s">
        <v>37</v>
      </c>
      <c r="H388" t="s">
        <v>38</v>
      </c>
      <c r="I388" t="s">
        <v>39</v>
      </c>
      <c r="J388" t="s">
        <v>40</v>
      </c>
      <c r="K388">
        <v>2016</v>
      </c>
      <c r="L388">
        <v>0.49533516880803102</v>
      </c>
      <c r="M388" s="7">
        <v>21.348770630000001</v>
      </c>
      <c r="N388" s="7">
        <f t="shared" si="54"/>
        <v>7.576142612754108E-4</v>
      </c>
      <c r="O388" s="8">
        <v>3.486619685</v>
      </c>
      <c r="P388" s="8">
        <f t="shared" si="55"/>
        <v>1.2373137745400848E-4</v>
      </c>
      <c r="Q388" s="8">
        <v>0.693423024</v>
      </c>
      <c r="R388" s="8">
        <f t="shared" si="56"/>
        <v>2.4607841883920294E-5</v>
      </c>
      <c r="S388" s="8">
        <v>2.1442271829999999</v>
      </c>
      <c r="T388" s="8">
        <f t="shared" si="57"/>
        <v>7.6093238407480137E-5</v>
      </c>
      <c r="U388" s="8">
        <v>1.1742538E-2</v>
      </c>
      <c r="V388" s="8">
        <f t="shared" si="58"/>
        <v>4.1671318721589731E-7</v>
      </c>
      <c r="W388" s="8">
        <v>3.2528191999999997E-2</v>
      </c>
      <c r="X388" s="8">
        <f t="shared" si="59"/>
        <v>1.478810461585319E-11</v>
      </c>
      <c r="Y388" s="8">
        <v>5.492462E-3</v>
      </c>
      <c r="Z388" s="8">
        <f t="shared" si="60"/>
        <v>1.9491368439107473E-7</v>
      </c>
      <c r="AA388" s="8">
        <v>2.0701747E-2</v>
      </c>
      <c r="AB388" s="8">
        <f t="shared" si="61"/>
        <v>7.3465301737215077E-7</v>
      </c>
      <c r="AC388" s="8">
        <v>2.9468907500000001</v>
      </c>
      <c r="AD388" s="18">
        <f t="shared" si="62"/>
        <v>1.045777528511763E-4</v>
      </c>
      <c r="AE388" s="9">
        <v>58.6</v>
      </c>
      <c r="AF388" s="10">
        <v>68.599999999999994</v>
      </c>
      <c r="AG388" s="10">
        <v>66.2</v>
      </c>
      <c r="AH388" s="10">
        <v>70</v>
      </c>
      <c r="AI388" s="10">
        <v>65.2</v>
      </c>
      <c r="AJ388" s="10">
        <v>59.1</v>
      </c>
      <c r="AK388" s="11">
        <v>28178.945039999999</v>
      </c>
      <c r="AL388" s="11">
        <v>57.878588700000002</v>
      </c>
      <c r="AM388" s="11">
        <v>4205.74082</v>
      </c>
      <c r="AN388" s="11">
        <v>15.3</v>
      </c>
      <c r="AO388" s="11">
        <v>70.778999999999996</v>
      </c>
      <c r="AP388" s="19">
        <v>53.846763699999997</v>
      </c>
    </row>
    <row r="389" spans="2:42">
      <c r="B389" t="s">
        <v>95</v>
      </c>
      <c r="C389" t="s">
        <v>96</v>
      </c>
      <c r="D389" t="s">
        <v>97</v>
      </c>
      <c r="E389" t="s">
        <v>35</v>
      </c>
      <c r="F389" t="s">
        <v>36</v>
      </c>
      <c r="G389" t="s">
        <v>37</v>
      </c>
      <c r="H389" t="s">
        <v>38</v>
      </c>
      <c r="I389" t="s">
        <v>39</v>
      </c>
      <c r="J389" t="s">
        <v>40</v>
      </c>
      <c r="K389">
        <v>2016</v>
      </c>
      <c r="L389">
        <v>0.55296724398796004</v>
      </c>
      <c r="M389" s="7">
        <v>64.074441410000006</v>
      </c>
      <c r="N389" s="7">
        <f t="shared" si="54"/>
        <v>1.198092100594588E-3</v>
      </c>
      <c r="O389" s="8">
        <v>0.32183600000000001</v>
      </c>
      <c r="P389" s="8">
        <f t="shared" si="55"/>
        <v>6.0178311476747649E-6</v>
      </c>
      <c r="Q389" s="8">
        <v>1.4471880000000001E-3</v>
      </c>
      <c r="R389" s="8">
        <f t="shared" si="56"/>
        <v>2.7060158039936951E-8</v>
      </c>
      <c r="S389" s="8"/>
      <c r="T389" s="8">
        <f t="shared" si="57"/>
        <v>0</v>
      </c>
      <c r="U389" s="8">
        <v>1.9515E-4</v>
      </c>
      <c r="V389" s="8">
        <f t="shared" si="58"/>
        <v>3.6490005731761841E-9</v>
      </c>
      <c r="W389" s="14">
        <v>7.1569199999999997E-6</v>
      </c>
      <c r="X389" s="8">
        <f t="shared" si="59"/>
        <v>6.8230618411683932E-14</v>
      </c>
      <c r="Y389" s="8">
        <v>3.6743840000000002E-3</v>
      </c>
      <c r="Z389" s="8">
        <f t="shared" si="60"/>
        <v>6.8705248896076861E-8</v>
      </c>
      <c r="AA389" s="8">
        <v>2.4638049999999999E-3</v>
      </c>
      <c r="AB389" s="8">
        <f t="shared" si="61"/>
        <v>4.6069310054800656E-8</v>
      </c>
      <c r="AC389" s="8">
        <v>0.278119483</v>
      </c>
      <c r="AD389" s="18">
        <f t="shared" si="62"/>
        <v>5.2004004759337127E-6</v>
      </c>
      <c r="AE389" s="9">
        <v>95.2</v>
      </c>
      <c r="AF389" s="10">
        <v>88.6</v>
      </c>
      <c r="AG389" s="10">
        <v>95.7</v>
      </c>
      <c r="AH389" s="10">
        <v>86.7</v>
      </c>
      <c r="AI389" s="10">
        <v>89.5</v>
      </c>
      <c r="AJ389" s="10">
        <v>94.6</v>
      </c>
      <c r="AK389" s="11">
        <v>53480.397190000003</v>
      </c>
      <c r="AL389" s="11">
        <v>18.673316700000001</v>
      </c>
      <c r="AM389" s="11">
        <v>53842.874559999997</v>
      </c>
      <c r="AN389" s="11">
        <v>80.900000000000006</v>
      </c>
      <c r="AO389" s="11">
        <v>93.734999999999999</v>
      </c>
      <c r="AP389" s="19">
        <v>-5.1280640000000002</v>
      </c>
    </row>
    <row r="390" spans="2:42">
      <c r="B390" t="s">
        <v>98</v>
      </c>
      <c r="C390" t="s">
        <v>99</v>
      </c>
      <c r="D390" t="s">
        <v>100</v>
      </c>
      <c r="E390" t="s">
        <v>35</v>
      </c>
      <c r="F390" t="s">
        <v>36</v>
      </c>
      <c r="G390" t="s">
        <v>37</v>
      </c>
      <c r="H390" t="s">
        <v>38</v>
      </c>
      <c r="I390" t="s">
        <v>39</v>
      </c>
      <c r="J390" t="s">
        <v>40</v>
      </c>
      <c r="K390">
        <v>2016</v>
      </c>
      <c r="L390">
        <v>0.25781217532758099</v>
      </c>
      <c r="M390" s="7">
        <v>3355.6479279999999</v>
      </c>
      <c r="N390" s="7">
        <f t="shared" si="54"/>
        <v>0.32697849544034968</v>
      </c>
      <c r="O390" s="8">
        <v>111.0242707</v>
      </c>
      <c r="P390" s="8">
        <f t="shared" si="55"/>
        <v>1.0818342618107969E-2</v>
      </c>
      <c r="Q390" s="8">
        <v>9.3938173420000002</v>
      </c>
      <c r="R390" s="8">
        <f t="shared" si="56"/>
        <v>9.1534521106906329E-4</v>
      </c>
      <c r="S390" s="8">
        <v>151.73756119999999</v>
      </c>
      <c r="T390" s="8">
        <f t="shared" si="57"/>
        <v>1.4785496132943533E-2</v>
      </c>
      <c r="U390" s="8">
        <v>0.44364493799999999</v>
      </c>
      <c r="V390" s="8">
        <f t="shared" si="58"/>
        <v>4.3229312922415507E-5</v>
      </c>
      <c r="W390" s="8">
        <v>0.110753527</v>
      </c>
      <c r="X390" s="8">
        <f t="shared" si="59"/>
        <v>4.2123178597929147E-9</v>
      </c>
      <c r="Y390" s="8">
        <v>7.2312165999999997E-2</v>
      </c>
      <c r="Z390" s="8">
        <f t="shared" si="60"/>
        <v>7.0461871292931452E-6</v>
      </c>
      <c r="AA390" s="8">
        <v>0.81736529899999999</v>
      </c>
      <c r="AB390" s="8">
        <f t="shared" si="61"/>
        <v>7.9645088348544884E-5</v>
      </c>
      <c r="AC390" s="8">
        <v>42.834712170000003</v>
      </c>
      <c r="AD390" s="18">
        <f t="shared" si="62"/>
        <v>4.1738674731335041E-3</v>
      </c>
      <c r="AE390" s="9">
        <v>38.1</v>
      </c>
      <c r="AF390" s="10">
        <v>50</v>
      </c>
      <c r="AG390" s="10">
        <v>32.4</v>
      </c>
      <c r="AH390" s="10">
        <v>51.9</v>
      </c>
      <c r="AI390" s="10">
        <v>40.5</v>
      </c>
      <c r="AJ390" s="10">
        <v>51.7</v>
      </c>
      <c r="AK390" s="11">
        <v>10262.595170000001</v>
      </c>
      <c r="AL390" s="11">
        <v>27.931009</v>
      </c>
      <c r="AM390" s="11">
        <v>853.67949290000001</v>
      </c>
      <c r="AN390" s="11">
        <v>27.8</v>
      </c>
      <c r="AO390" s="11">
        <v>53.988999999999997</v>
      </c>
      <c r="AP390" s="19">
        <v>0.48737247</v>
      </c>
    </row>
    <row r="391" spans="2:42">
      <c r="B391" t="s">
        <v>101</v>
      </c>
      <c r="C391" t="s">
        <v>102</v>
      </c>
      <c r="D391" t="s">
        <v>103</v>
      </c>
      <c r="E391" t="s">
        <v>35</v>
      </c>
      <c r="F391" t="s">
        <v>36</v>
      </c>
      <c r="G391" t="s">
        <v>37</v>
      </c>
      <c r="H391" t="s">
        <v>38</v>
      </c>
      <c r="I391" t="s">
        <v>39</v>
      </c>
      <c r="J391" t="s">
        <v>40</v>
      </c>
      <c r="K391">
        <v>2016</v>
      </c>
      <c r="L391">
        <v>0.45353174985011402</v>
      </c>
      <c r="M391" s="7">
        <v>68.23931614</v>
      </c>
      <c r="N391" s="7">
        <f t="shared" si="54"/>
        <v>9.3462101945248417E-4</v>
      </c>
      <c r="O391" s="8">
        <v>17.046477800000002</v>
      </c>
      <c r="P391" s="8">
        <f t="shared" si="55"/>
        <v>2.3347239334614675E-4</v>
      </c>
      <c r="Q391" s="8">
        <v>0.20068637</v>
      </c>
      <c r="R391" s="8">
        <f t="shared" si="56"/>
        <v>2.7486456536992258E-6</v>
      </c>
      <c r="S391" s="8">
        <v>1.273042021</v>
      </c>
      <c r="T391" s="8">
        <f t="shared" si="57"/>
        <v>1.7435869800216768E-5</v>
      </c>
      <c r="U391" s="8">
        <v>1.0824715E-2</v>
      </c>
      <c r="V391" s="8">
        <f t="shared" si="58"/>
        <v>1.4825773089265015E-7</v>
      </c>
      <c r="W391" s="8">
        <v>1.8132444000000001E-2</v>
      </c>
      <c r="X391" s="8">
        <f t="shared" si="59"/>
        <v>2.0305712223774455E-12</v>
      </c>
      <c r="Y391" s="8"/>
      <c r="Z391" s="8">
        <f t="shared" si="60"/>
        <v>0</v>
      </c>
      <c r="AA391" s="8">
        <v>1.2014824E-2</v>
      </c>
      <c r="AB391" s="8">
        <f t="shared" si="61"/>
        <v>1.6455773138734408E-7</v>
      </c>
      <c r="AC391" s="8">
        <v>1.18854898</v>
      </c>
      <c r="AD391" s="18">
        <f t="shared" si="62"/>
        <v>1.6278634109957982E-5</v>
      </c>
      <c r="AE391" s="9">
        <v>92.4</v>
      </c>
      <c r="AF391" s="10">
        <v>88.1</v>
      </c>
      <c r="AG391" s="10">
        <v>73.3</v>
      </c>
      <c r="AH391" s="10">
        <v>94.8</v>
      </c>
      <c r="AI391" s="10">
        <v>89</v>
      </c>
      <c r="AJ391" s="10">
        <v>92.6</v>
      </c>
      <c r="AK391" s="11">
        <v>73012.819870000007</v>
      </c>
      <c r="AL391" s="11">
        <v>64.755407199999993</v>
      </c>
      <c r="AM391" s="11">
        <v>5808.6531189999996</v>
      </c>
      <c r="AN391" s="11">
        <v>8.6</v>
      </c>
      <c r="AO391" s="11">
        <v>62.737000000000002</v>
      </c>
      <c r="AP391" s="19">
        <v>26.099562599999999</v>
      </c>
    </row>
    <row r="392" spans="2:42">
      <c r="B392" t="s">
        <v>104</v>
      </c>
      <c r="C392" t="s">
        <v>105</v>
      </c>
      <c r="D392" t="s">
        <v>106</v>
      </c>
      <c r="E392" t="s">
        <v>35</v>
      </c>
      <c r="F392" t="s">
        <v>36</v>
      </c>
      <c r="G392" t="s">
        <v>37</v>
      </c>
      <c r="H392" t="s">
        <v>38</v>
      </c>
      <c r="I392" t="s">
        <v>39</v>
      </c>
      <c r="J392" t="s">
        <v>40</v>
      </c>
      <c r="K392">
        <v>2016</v>
      </c>
      <c r="L392">
        <v>0.546705641927552</v>
      </c>
      <c r="M392" s="7">
        <v>4.3791495930000002</v>
      </c>
      <c r="N392" s="7">
        <f t="shared" si="54"/>
        <v>1.1466996066134841E-4</v>
      </c>
      <c r="O392" s="8">
        <v>1.781392804</v>
      </c>
      <c r="P392" s="8">
        <f t="shared" si="55"/>
        <v>4.6646555094535936E-5</v>
      </c>
      <c r="Q392" s="8">
        <v>1.0434594E-2</v>
      </c>
      <c r="R392" s="8">
        <f t="shared" si="56"/>
        <v>2.7323443926414005E-7</v>
      </c>
      <c r="S392" s="8">
        <v>0.31185446999999999</v>
      </c>
      <c r="T392" s="8">
        <f t="shared" si="57"/>
        <v>8.1660466370292497E-6</v>
      </c>
      <c r="U392" s="8">
        <v>4.4795679999999997E-3</v>
      </c>
      <c r="V392" s="8">
        <f t="shared" si="58"/>
        <v>1.1729946087270719E-7</v>
      </c>
      <c r="W392" s="8">
        <v>3.2754136000000003E-2</v>
      </c>
      <c r="X392" s="8">
        <f t="shared" si="59"/>
        <v>3.0715380413976897E-12</v>
      </c>
      <c r="Y392" s="8">
        <v>1.848E-3</v>
      </c>
      <c r="Z392" s="8">
        <f t="shared" si="60"/>
        <v>4.8390693855470644E-8</v>
      </c>
      <c r="AA392" s="8">
        <v>5.0858345999999999E-2</v>
      </c>
      <c r="AB392" s="8">
        <f t="shared" si="61"/>
        <v>1.3317481879229437E-6</v>
      </c>
      <c r="AC392" s="8">
        <v>5.9012227839999998</v>
      </c>
      <c r="AD392" s="18">
        <f t="shared" si="62"/>
        <v>1.5452611748564509E-4</v>
      </c>
      <c r="AE392" s="9">
        <v>83.8</v>
      </c>
      <c r="AF392" s="10">
        <v>87.1</v>
      </c>
      <c r="AG392" s="10">
        <v>19</v>
      </c>
      <c r="AH392" s="10">
        <v>87.6</v>
      </c>
      <c r="AI392" s="10">
        <v>82.4</v>
      </c>
      <c r="AJ392" s="10">
        <v>71.900000000000006</v>
      </c>
      <c r="AK392" s="11">
        <v>38189.161030000003</v>
      </c>
      <c r="AL392" s="11">
        <v>25.508317900000002</v>
      </c>
      <c r="AM392" s="11">
        <v>6890.5920900000001</v>
      </c>
      <c r="AN392" s="11">
        <v>4</v>
      </c>
      <c r="AO392" s="11">
        <v>92.256</v>
      </c>
      <c r="AP392" s="19">
        <v>3.72366398</v>
      </c>
    </row>
    <row r="393" spans="2:42">
      <c r="B393" t="s">
        <v>107</v>
      </c>
      <c r="C393" t="s">
        <v>108</v>
      </c>
      <c r="D393" t="s">
        <v>109</v>
      </c>
      <c r="E393" t="s">
        <v>35</v>
      </c>
      <c r="F393" t="s">
        <v>36</v>
      </c>
      <c r="G393" t="s">
        <v>37</v>
      </c>
      <c r="H393" t="s">
        <v>38</v>
      </c>
      <c r="I393" t="s">
        <v>39</v>
      </c>
      <c r="J393" t="s">
        <v>40</v>
      </c>
      <c r="K393">
        <v>2016</v>
      </c>
      <c r="L393">
        <v>0.90394660647039204</v>
      </c>
      <c r="M393" s="7">
        <v>82.757949909999994</v>
      </c>
      <c r="N393" s="7">
        <f t="shared" si="54"/>
        <v>2.0442863242132172E-3</v>
      </c>
      <c r="O393" s="8">
        <v>21.733714979999998</v>
      </c>
      <c r="P393" s="8">
        <f t="shared" si="55"/>
        <v>5.3686608182392003E-4</v>
      </c>
      <c r="Q393" s="8">
        <v>2.3647062120000002</v>
      </c>
      <c r="R393" s="8">
        <f t="shared" si="56"/>
        <v>5.8412957005711327E-5</v>
      </c>
      <c r="S393" s="8">
        <v>4.4553082460000004</v>
      </c>
      <c r="T393" s="8">
        <f t="shared" si="57"/>
        <v>1.1005499444291609E-4</v>
      </c>
      <c r="U393" s="8">
        <v>5.2300684E-2</v>
      </c>
      <c r="V393" s="8">
        <f t="shared" si="58"/>
        <v>1.2919311457626829E-6</v>
      </c>
      <c r="W393" s="8">
        <v>0.24142432599999999</v>
      </c>
      <c r="X393" s="8">
        <f t="shared" si="59"/>
        <v>3.1913274506920002E-11</v>
      </c>
      <c r="Y393" s="8">
        <v>3.8215981000000003E-2</v>
      </c>
      <c r="Z393" s="8">
        <f t="shared" si="60"/>
        <v>9.4401090662169788E-7</v>
      </c>
      <c r="AA393" s="8">
        <v>0.38830197799999999</v>
      </c>
      <c r="AB393" s="8">
        <f t="shared" si="61"/>
        <v>9.5918328590015408E-6</v>
      </c>
      <c r="AC393" s="8">
        <v>13.84318173</v>
      </c>
      <c r="AD393" s="18">
        <f t="shared" si="62"/>
        <v>3.4195418234759492E-4</v>
      </c>
      <c r="AE393" s="9">
        <v>59</v>
      </c>
      <c r="AF393" s="10">
        <v>71.900000000000006</v>
      </c>
      <c r="AG393" s="10">
        <v>58.6</v>
      </c>
      <c r="AH393" s="10">
        <v>73.8</v>
      </c>
      <c r="AI393" s="10">
        <v>62.9</v>
      </c>
      <c r="AJ393" s="10">
        <v>81.8</v>
      </c>
      <c r="AK393" s="11">
        <v>40482.563000000002</v>
      </c>
      <c r="AL393" s="11">
        <v>43.325059699999997</v>
      </c>
      <c r="AM393" s="11">
        <v>5124.1762840000001</v>
      </c>
      <c r="AN393" s="11">
        <v>16.100000000000001</v>
      </c>
      <c r="AO393" s="11">
        <v>69.855000000000004</v>
      </c>
      <c r="AP393" s="19">
        <v>1.3595735099999999</v>
      </c>
    </row>
    <row r="394" spans="2:42">
      <c r="B394" t="s">
        <v>110</v>
      </c>
      <c r="C394" t="s">
        <v>111</v>
      </c>
      <c r="D394" t="s">
        <v>112</v>
      </c>
      <c r="E394" t="s">
        <v>35</v>
      </c>
      <c r="F394" t="s">
        <v>36</v>
      </c>
      <c r="G394" t="s">
        <v>37</v>
      </c>
      <c r="H394" t="s">
        <v>38</v>
      </c>
      <c r="I394" t="s">
        <v>39</v>
      </c>
      <c r="J394" t="s">
        <v>40</v>
      </c>
      <c r="K394">
        <v>2016</v>
      </c>
      <c r="L394">
        <v>1.15727584049367</v>
      </c>
      <c r="M394" s="7">
        <v>1.408483264</v>
      </c>
      <c r="N394" s="7">
        <f t="shared" si="54"/>
        <v>3.4694296409075782E-5</v>
      </c>
      <c r="O394" s="8">
        <v>44.842956100000002</v>
      </c>
      <c r="P394" s="8">
        <f t="shared" si="55"/>
        <v>1.1045887803978712E-3</v>
      </c>
      <c r="Q394" s="8">
        <v>1.1232778569999999</v>
      </c>
      <c r="R394" s="8">
        <f t="shared" si="56"/>
        <v>2.7669008156925773E-5</v>
      </c>
      <c r="S394" s="8">
        <v>4.2766098469999996</v>
      </c>
      <c r="T394" s="8">
        <f t="shared" si="57"/>
        <v>1.0534308319462588E-4</v>
      </c>
      <c r="U394" s="8">
        <v>0.35184385800000001</v>
      </c>
      <c r="V394" s="8">
        <f t="shared" si="58"/>
        <v>8.6667519672883873E-6</v>
      </c>
      <c r="W394" s="8">
        <v>0.61938552899999999</v>
      </c>
      <c r="X394" s="8">
        <f t="shared" si="59"/>
        <v>2.1348273660214677E-10</v>
      </c>
      <c r="Y394" s="8">
        <v>0.54844695899999996</v>
      </c>
      <c r="Z394" s="8">
        <f t="shared" si="60"/>
        <v>1.3509554459428942E-5</v>
      </c>
      <c r="AA394" s="8">
        <v>0.604269952</v>
      </c>
      <c r="AB394" s="8">
        <f t="shared" si="61"/>
        <v>1.4884607692282807E-5</v>
      </c>
      <c r="AC394" s="8">
        <v>7.5862912949999997</v>
      </c>
      <c r="AD394" s="18">
        <f t="shared" si="62"/>
        <v>1.8686841765293516E-4</v>
      </c>
      <c r="AE394" s="9">
        <v>90.5</v>
      </c>
      <c r="AF394" s="10">
        <v>95.2</v>
      </c>
      <c r="AG394" s="10">
        <v>81.400000000000006</v>
      </c>
      <c r="AH394" s="10">
        <v>90.5</v>
      </c>
      <c r="AI394" s="10">
        <v>88.1</v>
      </c>
      <c r="AJ394" s="10">
        <v>77.3</v>
      </c>
      <c r="AK394" s="11">
        <v>40596.968659999999</v>
      </c>
      <c r="AL394" s="11">
        <v>13.204389600000001</v>
      </c>
      <c r="AM394" s="11">
        <v>8066.0156129999996</v>
      </c>
      <c r="AN394" s="11">
        <v>6.4</v>
      </c>
      <c r="AO394" s="11">
        <v>91.456999999999994</v>
      </c>
      <c r="AP394" s="19">
        <v>0.81848162000000002</v>
      </c>
    </row>
    <row r="395" spans="2:42">
      <c r="B395" t="s">
        <v>113</v>
      </c>
      <c r="C395" t="s">
        <v>114</v>
      </c>
      <c r="D395" t="s">
        <v>115</v>
      </c>
      <c r="E395" t="s">
        <v>35</v>
      </c>
      <c r="F395" t="s">
        <v>36</v>
      </c>
      <c r="G395" t="s">
        <v>37</v>
      </c>
      <c r="H395" t="s">
        <v>38</v>
      </c>
      <c r="I395" t="s">
        <v>39</v>
      </c>
      <c r="J395" t="s">
        <v>40</v>
      </c>
      <c r="K395">
        <v>2016</v>
      </c>
      <c r="L395">
        <v>0.53073704755065798</v>
      </c>
      <c r="M395" s="7">
        <v>30.062185700000001</v>
      </c>
      <c r="N395" s="7">
        <f t="shared" si="54"/>
        <v>1.1651036521654833E-3</v>
      </c>
      <c r="O395" s="8">
        <v>1.2686975199999999</v>
      </c>
      <c r="P395" s="8">
        <f t="shared" si="55"/>
        <v>4.9170214328271248E-5</v>
      </c>
      <c r="Q395" s="8">
        <v>0.196896342</v>
      </c>
      <c r="R395" s="8">
        <f t="shared" si="56"/>
        <v>7.6310035953980562E-6</v>
      </c>
      <c r="S395" s="8">
        <v>0.165366281</v>
      </c>
      <c r="T395" s="8">
        <f t="shared" si="57"/>
        <v>6.40901030486694E-6</v>
      </c>
      <c r="U395" s="8">
        <v>1.3424358000000001E-2</v>
      </c>
      <c r="V395" s="8">
        <f t="shared" si="58"/>
        <v>5.2028048425557171E-7</v>
      </c>
      <c r="W395" s="8">
        <v>1.7976909999999999E-2</v>
      </c>
      <c r="X395" s="8">
        <f t="shared" si="59"/>
        <v>2.0164225529236645E-11</v>
      </c>
      <c r="Y395" s="8"/>
      <c r="Z395" s="8">
        <f t="shared" si="60"/>
        <v>0</v>
      </c>
      <c r="AA395" s="8">
        <v>8.1228340000000007E-3</v>
      </c>
      <c r="AB395" s="8">
        <f t="shared" si="61"/>
        <v>3.1481222469243018E-7</v>
      </c>
      <c r="AC395" s="8">
        <v>0.78916092500000001</v>
      </c>
      <c r="AD395" s="18">
        <f t="shared" si="62"/>
        <v>3.0585077380577517E-5</v>
      </c>
      <c r="AE395" s="9">
        <v>64.8</v>
      </c>
      <c r="AF395" s="10">
        <v>78.099999999999994</v>
      </c>
      <c r="AG395" s="10">
        <v>61.9</v>
      </c>
      <c r="AH395" s="10">
        <v>82.9</v>
      </c>
      <c r="AI395" s="10">
        <v>79</v>
      </c>
      <c r="AJ395" s="10">
        <v>73.900000000000006</v>
      </c>
      <c r="AK395" s="11">
        <v>25802.155579999999</v>
      </c>
      <c r="AL395" s="11">
        <v>31.0315458</v>
      </c>
      <c r="AM395" s="11">
        <v>3563.0865859999999</v>
      </c>
      <c r="AN395" s="11">
        <v>38.5</v>
      </c>
      <c r="AO395" s="11">
        <v>68.021000000000001</v>
      </c>
      <c r="AP395" s="19">
        <v>1.23693505</v>
      </c>
    </row>
    <row r="396" spans="2:42">
      <c r="B396" t="s">
        <v>116</v>
      </c>
      <c r="C396" t="s">
        <v>117</v>
      </c>
      <c r="D396" t="s">
        <v>118</v>
      </c>
      <c r="E396" t="s">
        <v>35</v>
      </c>
      <c r="F396" t="s">
        <v>36</v>
      </c>
      <c r="G396" t="s">
        <v>37</v>
      </c>
      <c r="H396" t="s">
        <v>38</v>
      </c>
      <c r="I396" t="s">
        <v>39</v>
      </c>
      <c r="J396" t="s">
        <v>40</v>
      </c>
      <c r="K396">
        <v>2016</v>
      </c>
      <c r="L396">
        <v>0.53184760053381497</v>
      </c>
      <c r="M396" s="7">
        <v>68.324281369999994</v>
      </c>
      <c r="N396" s="7">
        <f t="shared" si="54"/>
        <v>2.2202907665917265E-3</v>
      </c>
      <c r="O396" s="8">
        <v>2.3972079389999998</v>
      </c>
      <c r="P396" s="8">
        <f t="shared" si="55"/>
        <v>7.7900543494030782E-5</v>
      </c>
      <c r="Q396" s="8">
        <v>0.207539784</v>
      </c>
      <c r="R396" s="8">
        <f t="shared" si="56"/>
        <v>6.7442885146534448E-6</v>
      </c>
      <c r="S396" s="8">
        <v>0.26134958699999999</v>
      </c>
      <c r="T396" s="8">
        <f t="shared" si="57"/>
        <v>8.4929114984215332E-6</v>
      </c>
      <c r="U396" s="8">
        <v>4.7335570000000002E-3</v>
      </c>
      <c r="V396" s="8">
        <f t="shared" si="58"/>
        <v>1.5382339469215897E-7</v>
      </c>
      <c r="W396" s="8">
        <v>2.4154518E-2</v>
      </c>
      <c r="X396" s="8">
        <f t="shared" si="59"/>
        <v>4.9987011362955426E-12</v>
      </c>
      <c r="Y396" s="8">
        <v>3.6064000000000001E-3</v>
      </c>
      <c r="Z396" s="8">
        <f t="shared" si="60"/>
        <v>1.1719488972411278E-7</v>
      </c>
      <c r="AA396" s="8">
        <v>1.6100491000000001E-2</v>
      </c>
      <c r="AB396" s="8">
        <f t="shared" si="61"/>
        <v>5.2320742769772356E-7</v>
      </c>
      <c r="AC396" s="8">
        <v>0.98849339700000005</v>
      </c>
      <c r="AD396" s="18">
        <f t="shared" si="62"/>
        <v>3.2122441951649466E-5</v>
      </c>
      <c r="AE396" s="9">
        <v>72.900000000000006</v>
      </c>
      <c r="AF396" s="10">
        <v>80.5</v>
      </c>
      <c r="AG396" s="10">
        <v>72.900000000000006</v>
      </c>
      <c r="AH396" s="10">
        <v>84.3</v>
      </c>
      <c r="AI396" s="10">
        <v>81.900000000000006</v>
      </c>
      <c r="AJ396" s="10">
        <v>78.3</v>
      </c>
      <c r="AK396" s="11">
        <v>30772.672839999999</v>
      </c>
      <c r="AL396" s="11">
        <v>47.1552632</v>
      </c>
      <c r="AM396" s="11">
        <v>4043.3388650000002</v>
      </c>
      <c r="AN396" s="11">
        <v>31.5</v>
      </c>
      <c r="AO396" s="11">
        <v>67.366</v>
      </c>
      <c r="AP396" s="19">
        <v>2.7403147400000001</v>
      </c>
    </row>
    <row r="397" spans="2:42">
      <c r="B397" t="s">
        <v>119</v>
      </c>
      <c r="C397" t="s">
        <v>120</v>
      </c>
      <c r="D397" t="s">
        <v>121</v>
      </c>
      <c r="E397" t="s">
        <v>35</v>
      </c>
      <c r="F397" t="s">
        <v>36</v>
      </c>
      <c r="G397" t="s">
        <v>37</v>
      </c>
      <c r="H397" t="s">
        <v>38</v>
      </c>
      <c r="I397" t="s">
        <v>39</v>
      </c>
      <c r="J397" t="s">
        <v>40</v>
      </c>
      <c r="K397">
        <v>2016</v>
      </c>
      <c r="L397">
        <v>0.71114127679106698</v>
      </c>
      <c r="M397" s="7">
        <v>11.990807970000001</v>
      </c>
      <c r="N397" s="7">
        <f t="shared" si="54"/>
        <v>1.0577152863435636E-4</v>
      </c>
      <c r="O397" s="8">
        <v>0.51018967900000001</v>
      </c>
      <c r="P397" s="8">
        <f t="shared" si="55"/>
        <v>4.500409178123263E-6</v>
      </c>
      <c r="Q397" s="8">
        <v>1.2466881000000001E-2</v>
      </c>
      <c r="R397" s="8">
        <f t="shared" si="56"/>
        <v>1.0997099311170215E-7</v>
      </c>
      <c r="S397" s="8">
        <v>2.5064736000000001E-2</v>
      </c>
      <c r="T397" s="8">
        <f t="shared" si="57"/>
        <v>2.2109731455707587E-7</v>
      </c>
      <c r="U397" s="8">
        <v>2.2521960000000001E-3</v>
      </c>
      <c r="V397" s="8">
        <f t="shared" si="58"/>
        <v>1.9866735777954658E-8</v>
      </c>
      <c r="W397" s="8">
        <v>2.2048179999999999E-3</v>
      </c>
      <c r="X397" s="8">
        <f t="shared" si="59"/>
        <v>1.7524548950049802E-13</v>
      </c>
      <c r="Y397" s="8"/>
      <c r="Z397" s="8">
        <f t="shared" si="60"/>
        <v>0</v>
      </c>
      <c r="AA397" s="8">
        <v>4.2523780000000002E-3</v>
      </c>
      <c r="AB397" s="8">
        <f t="shared" si="61"/>
        <v>3.7510443209199941E-8</v>
      </c>
      <c r="AC397" s="8">
        <v>7.1232632000000004E-2</v>
      </c>
      <c r="AD397" s="18">
        <f t="shared" si="62"/>
        <v>6.2834667973492444E-7</v>
      </c>
      <c r="AE397" s="9">
        <v>97.6</v>
      </c>
      <c r="AF397" s="10">
        <v>92.9</v>
      </c>
      <c r="AG397" s="10">
        <v>98.1</v>
      </c>
      <c r="AH397" s="10">
        <v>93.8</v>
      </c>
      <c r="AI397" s="10">
        <v>95.2</v>
      </c>
      <c r="AJ397" s="10">
        <v>96.6</v>
      </c>
      <c r="AK397" s="11">
        <v>113365.1761</v>
      </c>
      <c r="AL397" s="11">
        <v>50.748894900000003</v>
      </c>
      <c r="AM397" s="11">
        <v>14327.83404</v>
      </c>
      <c r="AN397" s="11">
        <v>13.5</v>
      </c>
      <c r="AO397" s="11">
        <v>90.46</v>
      </c>
      <c r="AP397" s="19">
        <v>28.2575541</v>
      </c>
    </row>
    <row r="398" spans="2:42">
      <c r="B398" t="s">
        <v>122</v>
      </c>
      <c r="C398" t="s">
        <v>123</v>
      </c>
      <c r="D398" t="s">
        <v>124</v>
      </c>
      <c r="E398" t="s">
        <v>35</v>
      </c>
      <c r="F398" t="s">
        <v>36</v>
      </c>
      <c r="G398" t="s">
        <v>37</v>
      </c>
      <c r="H398" t="s">
        <v>38</v>
      </c>
      <c r="I398" t="s">
        <v>39</v>
      </c>
      <c r="J398" t="s">
        <v>40</v>
      </c>
      <c r="K398">
        <v>2016</v>
      </c>
      <c r="L398">
        <v>1.03991697284826</v>
      </c>
      <c r="M398" s="7">
        <v>9.6466566000000004E-2</v>
      </c>
      <c r="N398" s="7">
        <f t="shared" si="54"/>
        <v>2.3528958997008194E-6</v>
      </c>
      <c r="O398" s="8">
        <v>5.4479552000000001E-2</v>
      </c>
      <c r="P398" s="8">
        <f t="shared" si="55"/>
        <v>1.3287993947907046E-6</v>
      </c>
      <c r="Q398" s="8">
        <v>8.7688000000000002E-4</v>
      </c>
      <c r="R398" s="8">
        <f t="shared" si="56"/>
        <v>2.1387797265735098E-8</v>
      </c>
      <c r="S398" s="13">
        <v>4.2135000000000002E-5</v>
      </c>
      <c r="T398" s="8">
        <f t="shared" si="57"/>
        <v>1.0277060005836015E-9</v>
      </c>
      <c r="U398" s="14">
        <v>6.3921200000000001E-5</v>
      </c>
      <c r="V398" s="8">
        <f t="shared" si="58"/>
        <v>1.5590886627389225E-9</v>
      </c>
      <c r="W398" s="8">
        <v>4.6528699999999999E-4</v>
      </c>
      <c r="X398" s="8">
        <f t="shared" si="59"/>
        <v>3.8027406529931251E-14</v>
      </c>
      <c r="Y398" s="8"/>
      <c r="Z398" s="8">
        <f t="shared" si="60"/>
        <v>0</v>
      </c>
      <c r="AA398" s="8">
        <v>1.202173E-3</v>
      </c>
      <c r="AB398" s="8">
        <f t="shared" si="61"/>
        <v>2.9321951010788887E-8</v>
      </c>
      <c r="AC398" s="8">
        <v>9.9676867000000002E-2</v>
      </c>
      <c r="AD398" s="18">
        <f t="shared" si="62"/>
        <v>2.4311976820997639E-6</v>
      </c>
      <c r="AE398" s="9">
        <v>73.8</v>
      </c>
      <c r="AF398" s="10">
        <v>77.099999999999994</v>
      </c>
      <c r="AG398" s="10">
        <v>89</v>
      </c>
      <c r="AH398" s="10">
        <v>84.8</v>
      </c>
      <c r="AI398" s="10">
        <v>81</v>
      </c>
      <c r="AJ398" s="10">
        <v>88.7</v>
      </c>
      <c r="AK398" s="11">
        <v>40999.07948</v>
      </c>
      <c r="AL398" s="11">
        <v>32.4375</v>
      </c>
      <c r="AM398" s="11">
        <v>4767.8243359999997</v>
      </c>
      <c r="AN398" s="11">
        <v>9.1999999999999993</v>
      </c>
      <c r="AO398" s="11">
        <v>94.48</v>
      </c>
      <c r="AP398" s="19">
        <v>23.0840198</v>
      </c>
    </row>
    <row r="399" spans="2:42">
      <c r="B399" t="s">
        <v>125</v>
      </c>
      <c r="C399" t="s">
        <v>126</v>
      </c>
      <c r="D399" t="s">
        <v>127</v>
      </c>
      <c r="E399" t="s">
        <v>35</v>
      </c>
      <c r="F399" t="s">
        <v>36</v>
      </c>
      <c r="G399" t="s">
        <v>37</v>
      </c>
      <c r="H399" t="s">
        <v>38</v>
      </c>
      <c r="I399" t="s">
        <v>39</v>
      </c>
      <c r="J399" t="s">
        <v>40</v>
      </c>
      <c r="K399">
        <v>2016</v>
      </c>
      <c r="L399">
        <v>0.61197911515416403</v>
      </c>
      <c r="M399" s="7">
        <v>292.44634689999998</v>
      </c>
      <c r="N399" s="7">
        <f t="shared" si="54"/>
        <v>1.3495163129142371E-2</v>
      </c>
      <c r="O399" s="8">
        <v>2.9557202000000001E-2</v>
      </c>
      <c r="P399" s="8">
        <f t="shared" si="55"/>
        <v>1.3639399734659952E-6</v>
      </c>
      <c r="Q399" s="8">
        <v>2.254893E-3</v>
      </c>
      <c r="R399" s="8">
        <f t="shared" si="56"/>
        <v>1.0405378352756996E-7</v>
      </c>
      <c r="S399" s="8">
        <v>2.8644E-3</v>
      </c>
      <c r="T399" s="8">
        <f t="shared" si="57"/>
        <v>1.3217995600517249E-7</v>
      </c>
      <c r="U399" s="8">
        <v>1.528146E-3</v>
      </c>
      <c r="V399" s="8">
        <f t="shared" si="58"/>
        <v>7.0517480466932103E-8</v>
      </c>
      <c r="W399" s="8">
        <v>7.5508709999999998E-3</v>
      </c>
      <c r="X399" s="8">
        <f t="shared" si="59"/>
        <v>3.2540837402997822E-12</v>
      </c>
      <c r="Y399" s="8"/>
      <c r="Z399" s="8">
        <f t="shared" si="60"/>
        <v>0</v>
      </c>
      <c r="AA399" s="8">
        <v>7.2638030000000001E-3</v>
      </c>
      <c r="AB399" s="8">
        <f t="shared" si="61"/>
        <v>3.3519381405189219E-7</v>
      </c>
      <c r="AC399" s="8">
        <v>0.489217864</v>
      </c>
      <c r="AD399" s="18">
        <f t="shared" si="62"/>
        <v>2.2575337152794462E-5</v>
      </c>
      <c r="AE399" s="9">
        <v>59.5</v>
      </c>
      <c r="AF399" s="10">
        <v>79.5</v>
      </c>
      <c r="AG399" s="10">
        <v>86.7</v>
      </c>
      <c r="AH399" s="10">
        <v>83.3</v>
      </c>
      <c r="AI399" s="10">
        <v>74.3</v>
      </c>
      <c r="AJ399" s="10">
        <v>72.900000000000006</v>
      </c>
      <c r="AK399" s="11">
        <v>21670.456600000001</v>
      </c>
      <c r="AL399" s="11">
        <v>43.064596899999998</v>
      </c>
      <c r="AM399" s="11">
        <v>2271.0241839999999</v>
      </c>
      <c r="AN399" s="11">
        <v>10.3</v>
      </c>
      <c r="AO399" s="11">
        <v>40.909999999999997</v>
      </c>
      <c r="AP399" s="19">
        <v>3.0074619199999999</v>
      </c>
    </row>
    <row r="400" spans="2:42">
      <c r="B400" t="s">
        <v>128</v>
      </c>
      <c r="C400" t="s">
        <v>129</v>
      </c>
      <c r="D400" t="s">
        <v>130</v>
      </c>
      <c r="E400" t="s">
        <v>35</v>
      </c>
      <c r="F400" t="s">
        <v>36</v>
      </c>
      <c r="G400" t="s">
        <v>37</v>
      </c>
      <c r="H400" t="s">
        <v>38</v>
      </c>
      <c r="I400" t="s">
        <v>39</v>
      </c>
      <c r="J400" t="s">
        <v>40</v>
      </c>
      <c r="K400">
        <v>2016</v>
      </c>
      <c r="L400">
        <v>0.10732858773387501</v>
      </c>
      <c r="M400" s="7">
        <v>292.44634689999998</v>
      </c>
      <c r="N400" s="7">
        <f t="shared" si="54"/>
        <v>2.8321795904480408E-2</v>
      </c>
      <c r="O400" s="8">
        <v>1.101650786</v>
      </c>
      <c r="P400" s="8">
        <f t="shared" si="55"/>
        <v>1.0668872786354653E-4</v>
      </c>
      <c r="Q400" s="8">
        <v>0.25150388800000001</v>
      </c>
      <c r="R400" s="8">
        <f t="shared" si="56"/>
        <v>2.4356747350839622E-5</v>
      </c>
      <c r="S400" s="8">
        <v>9.1095734999999997E-2</v>
      </c>
      <c r="T400" s="8">
        <f t="shared" si="57"/>
        <v>8.8221133270672853E-6</v>
      </c>
      <c r="U400" s="8">
        <v>6.6300400000000002E-4</v>
      </c>
      <c r="V400" s="8">
        <f t="shared" si="58"/>
        <v>6.4208235701692503E-8</v>
      </c>
      <c r="W400" s="8">
        <v>2.482344E-3</v>
      </c>
      <c r="X400" s="8">
        <f t="shared" si="59"/>
        <v>6.21820913889524E-12</v>
      </c>
      <c r="Y400" s="8"/>
      <c r="Z400" s="8">
        <f t="shared" si="60"/>
        <v>0</v>
      </c>
      <c r="AA400" s="8">
        <v>8.3459859999999997E-3</v>
      </c>
      <c r="AB400" s="8">
        <f t="shared" si="61"/>
        <v>8.0826214661001403E-7</v>
      </c>
      <c r="AC400" s="8">
        <v>0.85101412799999998</v>
      </c>
      <c r="AD400" s="18">
        <f t="shared" si="62"/>
        <v>8.2415966896269568E-5</v>
      </c>
      <c r="AE400" s="9">
        <v>13.8</v>
      </c>
      <c r="AF400" s="10">
        <v>27.6</v>
      </c>
      <c r="AG400" s="10">
        <v>34.799999999999997</v>
      </c>
      <c r="AH400" s="10">
        <v>49</v>
      </c>
      <c r="AI400" s="10">
        <v>32.4</v>
      </c>
      <c r="AJ400" s="10">
        <v>46.8</v>
      </c>
      <c r="AK400" s="11">
        <v>10325.840490000001</v>
      </c>
      <c r="AL400" s="11">
        <v>70.495742100000001</v>
      </c>
      <c r="AM400" s="11">
        <v>1882.5008399999999</v>
      </c>
      <c r="AN400" s="11">
        <v>25.3</v>
      </c>
      <c r="AO400" s="11">
        <v>42.511000000000003</v>
      </c>
      <c r="AP400" s="19">
        <v>1.0956134399999999</v>
      </c>
    </row>
    <row r="401" spans="2:42">
      <c r="B401" t="s">
        <v>131</v>
      </c>
      <c r="C401" t="s">
        <v>132</v>
      </c>
      <c r="D401" t="s">
        <v>133</v>
      </c>
      <c r="E401" t="s">
        <v>35</v>
      </c>
      <c r="F401" t="s">
        <v>36</v>
      </c>
      <c r="G401" t="s">
        <v>37</v>
      </c>
      <c r="H401" t="s">
        <v>38</v>
      </c>
      <c r="I401" t="s">
        <v>39</v>
      </c>
      <c r="J401" t="s">
        <v>40</v>
      </c>
      <c r="K401">
        <v>2016</v>
      </c>
      <c r="L401">
        <v>1.3873339949769701</v>
      </c>
      <c r="M401" s="7">
        <v>12.71042665</v>
      </c>
      <c r="N401" s="7">
        <f t="shared" si="54"/>
        <v>2.3908731624816218E-4</v>
      </c>
      <c r="O401" s="8">
        <v>14.13107333</v>
      </c>
      <c r="P401" s="8">
        <f t="shared" si="55"/>
        <v>2.658101487235033E-4</v>
      </c>
      <c r="Q401" s="8">
        <v>0.26397241900000001</v>
      </c>
      <c r="R401" s="8">
        <f t="shared" si="56"/>
        <v>4.965408240033026E-6</v>
      </c>
      <c r="S401" s="8">
        <v>2.4424455790000001</v>
      </c>
      <c r="T401" s="8">
        <f t="shared" si="57"/>
        <v>4.5943206679478264E-5</v>
      </c>
      <c r="U401" s="8">
        <v>1.9898215E-2</v>
      </c>
      <c r="V401" s="8">
        <f t="shared" si="58"/>
        <v>3.7429198511435681E-7</v>
      </c>
      <c r="W401" s="8">
        <v>0.12994150900000001</v>
      </c>
      <c r="X401" s="8">
        <f t="shared" si="59"/>
        <v>7.0405556539039249E-12</v>
      </c>
      <c r="Y401" s="8">
        <v>8.9933129000000001E-2</v>
      </c>
      <c r="Z401" s="8">
        <f t="shared" si="60"/>
        <v>1.6916718098058309E-6</v>
      </c>
      <c r="AA401" s="8">
        <v>7.0891952999999994E-2</v>
      </c>
      <c r="AB401" s="8">
        <f t="shared" si="61"/>
        <v>1.3335010108697528E-6</v>
      </c>
      <c r="AC401" s="8">
        <v>5.1948386019999999</v>
      </c>
      <c r="AD401" s="18">
        <f t="shared" si="62"/>
        <v>9.7716626978413399E-5</v>
      </c>
      <c r="AE401" s="9">
        <v>94.8</v>
      </c>
      <c r="AF401" s="10">
        <v>97.6</v>
      </c>
      <c r="AG401" s="10">
        <v>77.599999999999994</v>
      </c>
      <c r="AH401" s="10">
        <v>98.6</v>
      </c>
      <c r="AI401" s="10">
        <v>97.1</v>
      </c>
      <c r="AJ401" s="10">
        <v>98.5</v>
      </c>
      <c r="AK401" s="11">
        <v>53162.279159999998</v>
      </c>
      <c r="AL401" s="11">
        <v>53.905553900000001</v>
      </c>
      <c r="AM401" s="11">
        <v>6731.4671939999998</v>
      </c>
      <c r="AN401" s="11">
        <v>5.6</v>
      </c>
      <c r="AO401" s="11">
        <v>90.635000000000005</v>
      </c>
      <c r="AP401" s="19">
        <v>34.567786400000003</v>
      </c>
    </row>
    <row r="402" spans="2:42">
      <c r="B402" t="s">
        <v>134</v>
      </c>
      <c r="C402" t="s">
        <v>135</v>
      </c>
      <c r="D402" t="s">
        <v>136</v>
      </c>
      <c r="E402" t="s">
        <v>35</v>
      </c>
      <c r="F402" t="s">
        <v>36</v>
      </c>
      <c r="G402" t="s">
        <v>37</v>
      </c>
      <c r="H402" t="s">
        <v>38</v>
      </c>
      <c r="I402" t="s">
        <v>39</v>
      </c>
      <c r="J402" t="s">
        <v>40</v>
      </c>
      <c r="K402">
        <v>2016</v>
      </c>
      <c r="L402">
        <v>0.93229890889654099</v>
      </c>
      <c r="M402" s="7">
        <v>85.813289150000003</v>
      </c>
      <c r="N402" s="7">
        <f t="shared" si="54"/>
        <v>1.4475877326336649E-3</v>
      </c>
      <c r="O402" s="8">
        <v>2.8152330179999998</v>
      </c>
      <c r="P402" s="8">
        <f t="shared" si="55"/>
        <v>4.7490275943607144E-5</v>
      </c>
      <c r="Q402" s="8">
        <v>0.175544115</v>
      </c>
      <c r="R402" s="8">
        <f t="shared" si="56"/>
        <v>2.9612605451568725E-6</v>
      </c>
      <c r="S402" s="8">
        <v>4.5653429839999999</v>
      </c>
      <c r="T402" s="8">
        <f t="shared" si="57"/>
        <v>7.7012949443665155E-5</v>
      </c>
      <c r="U402" s="8">
        <v>2.8564328999999999E-2</v>
      </c>
      <c r="V402" s="8">
        <f t="shared" si="58"/>
        <v>4.8185278365258936E-7</v>
      </c>
      <c r="W402" s="8">
        <v>1.9669386000000001E-2</v>
      </c>
      <c r="X402" s="8">
        <f t="shared" si="59"/>
        <v>8.1283934628308285E-12</v>
      </c>
      <c r="Y402" s="8">
        <v>0.111189017</v>
      </c>
      <c r="Z402" s="8">
        <f t="shared" si="60"/>
        <v>1.8756518787136598E-6</v>
      </c>
      <c r="AA402" s="8">
        <v>3.0192798999999999E-2</v>
      </c>
      <c r="AB402" s="8">
        <f t="shared" si="61"/>
        <v>5.0932350780629625E-7</v>
      </c>
      <c r="AC402" s="8">
        <v>0.62091932699999997</v>
      </c>
      <c r="AD402" s="18">
        <f t="shared" si="62"/>
        <v>1.0474312424375253E-5</v>
      </c>
      <c r="AE402" s="9">
        <v>98.6</v>
      </c>
      <c r="AF402" s="10">
        <v>98.6</v>
      </c>
      <c r="AG402" s="10">
        <v>92.4</v>
      </c>
      <c r="AH402" s="10">
        <v>92.9</v>
      </c>
      <c r="AI402" s="10">
        <v>99.5</v>
      </c>
      <c r="AJ402" s="10">
        <v>100</v>
      </c>
      <c r="AK402" s="11">
        <v>59280.199200000003</v>
      </c>
      <c r="AL402" s="11">
        <v>2.69388608</v>
      </c>
      <c r="AM402" s="11">
        <v>23867.713540000001</v>
      </c>
      <c r="AN402" s="11">
        <v>57.7</v>
      </c>
      <c r="AO402" s="11">
        <v>81.484999999999999</v>
      </c>
      <c r="AP402" s="19">
        <v>-5.0325498</v>
      </c>
    </row>
    <row r="403" spans="2:42">
      <c r="B403" t="s">
        <v>137</v>
      </c>
      <c r="C403" t="s">
        <v>138</v>
      </c>
      <c r="D403" t="s">
        <v>139</v>
      </c>
      <c r="E403" t="s">
        <v>35</v>
      </c>
      <c r="F403" t="s">
        <v>36</v>
      </c>
      <c r="G403" t="s">
        <v>37</v>
      </c>
      <c r="H403" t="s">
        <v>38</v>
      </c>
      <c r="I403" t="s">
        <v>39</v>
      </c>
      <c r="J403" t="s">
        <v>40</v>
      </c>
      <c r="K403">
        <v>2016</v>
      </c>
      <c r="L403">
        <v>0.41753770405027801</v>
      </c>
      <c r="M403" s="7">
        <v>1.1145933990000001</v>
      </c>
      <c r="N403" s="7">
        <f t="shared" si="54"/>
        <v>3.930202663377024E-5</v>
      </c>
      <c r="O403" s="8">
        <v>19.066403210000001</v>
      </c>
      <c r="P403" s="8">
        <f t="shared" si="55"/>
        <v>6.7230641007019125E-4</v>
      </c>
      <c r="Q403" s="8">
        <v>3.8995855810000002</v>
      </c>
      <c r="R403" s="8">
        <f t="shared" si="56"/>
        <v>1.3750450747567039E-4</v>
      </c>
      <c r="S403" s="8">
        <v>20.29111198</v>
      </c>
      <c r="T403" s="8">
        <f t="shared" si="57"/>
        <v>7.1549124925938512E-4</v>
      </c>
      <c r="U403" s="8">
        <v>0.116869537</v>
      </c>
      <c r="V403" s="8">
        <f t="shared" si="58"/>
        <v>4.1209733163424158E-6</v>
      </c>
      <c r="W403" s="8">
        <v>0.106671395</v>
      </c>
      <c r="X403" s="8">
        <f t="shared" si="59"/>
        <v>1.4531092969082446E-10</v>
      </c>
      <c r="Y403" s="8">
        <v>2.3206246E-2</v>
      </c>
      <c r="Z403" s="8">
        <f t="shared" si="60"/>
        <v>8.1828270217651267E-7</v>
      </c>
      <c r="AA403" s="8">
        <v>0.20535392099999999</v>
      </c>
      <c r="AB403" s="8">
        <f t="shared" si="61"/>
        <v>7.2410488701370358E-6</v>
      </c>
      <c r="AC403" s="8">
        <v>8.0489333940000005</v>
      </c>
      <c r="AD403" s="18">
        <f t="shared" si="62"/>
        <v>2.8381595917241807E-4</v>
      </c>
      <c r="AE403" s="9">
        <v>75.7</v>
      </c>
      <c r="AF403" s="10">
        <v>72.400000000000006</v>
      </c>
      <c r="AG403" s="10">
        <v>63.3</v>
      </c>
      <c r="AH403" s="10">
        <v>79.5</v>
      </c>
      <c r="AI403" s="10">
        <v>71.400000000000006</v>
      </c>
      <c r="AJ403" s="10">
        <v>74.400000000000006</v>
      </c>
      <c r="AK403" s="11">
        <v>28359.692729999999</v>
      </c>
      <c r="AL403" s="11">
        <v>46.9447075</v>
      </c>
      <c r="AM403" s="11">
        <v>4191.1676420000003</v>
      </c>
      <c r="AN403" s="11">
        <v>11.3</v>
      </c>
      <c r="AO403" s="11">
        <v>60.177999999999997</v>
      </c>
      <c r="AP403" s="19">
        <v>3.8160872100000001</v>
      </c>
    </row>
    <row r="404" spans="2:42">
      <c r="B404" t="s">
        <v>140</v>
      </c>
      <c r="C404" t="s">
        <v>141</v>
      </c>
      <c r="D404" t="s">
        <v>142</v>
      </c>
      <c r="E404" t="s">
        <v>35</v>
      </c>
      <c r="F404" t="s">
        <v>36</v>
      </c>
      <c r="G404" t="s">
        <v>37</v>
      </c>
      <c r="H404" t="s">
        <v>38</v>
      </c>
      <c r="I404" t="s">
        <v>39</v>
      </c>
      <c r="J404" t="s">
        <v>40</v>
      </c>
      <c r="K404">
        <v>2016</v>
      </c>
      <c r="L404">
        <v>0.55828468902856898</v>
      </c>
      <c r="M404" s="7">
        <v>65.814432510000003</v>
      </c>
      <c r="N404" s="7">
        <f t="shared" si="54"/>
        <v>2.0834426824904401E-3</v>
      </c>
      <c r="O404" s="8">
        <v>5.0276238830000004</v>
      </c>
      <c r="P404" s="8">
        <f t="shared" si="55"/>
        <v>1.5915606638040923E-4</v>
      </c>
      <c r="Q404" s="8">
        <v>0.28501040900000002</v>
      </c>
      <c r="R404" s="8">
        <f t="shared" si="56"/>
        <v>9.022380478239839E-6</v>
      </c>
      <c r="S404" s="8">
        <v>0.55425912600000005</v>
      </c>
      <c r="T404" s="8">
        <f t="shared" si="57"/>
        <v>1.7545803803638188E-5</v>
      </c>
      <c r="U404" s="8">
        <v>4.5287196000000002E-2</v>
      </c>
      <c r="V404" s="8">
        <f t="shared" si="58"/>
        <v>1.4336259315519293E-6</v>
      </c>
      <c r="W404" s="8">
        <v>4.2693454999999998E-2</v>
      </c>
      <c r="X404" s="8">
        <f t="shared" si="59"/>
        <v>4.5383320080539694E-11</v>
      </c>
      <c r="Y404" s="8">
        <v>3.3404820000000001E-3</v>
      </c>
      <c r="Z404" s="8">
        <f t="shared" si="60"/>
        <v>1.0574736442243965E-7</v>
      </c>
      <c r="AA404" s="8">
        <v>2.5533302000000001E-2</v>
      </c>
      <c r="AB404" s="8">
        <f t="shared" si="61"/>
        <v>8.0829035794900472E-7</v>
      </c>
      <c r="AC404" s="8">
        <v>3.0822657869999999</v>
      </c>
      <c r="AD404" s="18">
        <f t="shared" si="62"/>
        <v>9.7573189565070776E-5</v>
      </c>
      <c r="AE404" s="9">
        <v>78.599999999999994</v>
      </c>
      <c r="AF404" s="10">
        <v>84.8</v>
      </c>
      <c r="AG404" s="10">
        <v>79.5</v>
      </c>
      <c r="AH404" s="10">
        <v>76.2</v>
      </c>
      <c r="AI404" s="10">
        <v>82.9</v>
      </c>
      <c r="AJ404" s="10">
        <v>86.2</v>
      </c>
      <c r="AK404" s="11">
        <v>31589.269560000001</v>
      </c>
      <c r="AL404" s="11">
        <v>39.506645900000002</v>
      </c>
      <c r="AM404" s="11">
        <v>4875.6219099999998</v>
      </c>
      <c r="AN404" s="11">
        <v>29</v>
      </c>
      <c r="AO404" s="11">
        <v>64.085999999999999</v>
      </c>
      <c r="AP404" s="19">
        <v>3.5628299299999999</v>
      </c>
    </row>
    <row r="405" spans="2:42">
      <c r="B405" t="s">
        <v>143</v>
      </c>
      <c r="C405" t="s">
        <v>144</v>
      </c>
      <c r="D405" t="s">
        <v>145</v>
      </c>
      <c r="E405" t="s">
        <v>35</v>
      </c>
      <c r="F405" t="s">
        <v>36</v>
      </c>
      <c r="G405" t="s">
        <v>37</v>
      </c>
      <c r="H405" t="s">
        <v>38</v>
      </c>
      <c r="I405" t="s">
        <v>39</v>
      </c>
      <c r="J405" t="s">
        <v>40</v>
      </c>
      <c r="K405">
        <v>2016</v>
      </c>
      <c r="L405">
        <v>0.60699074513604001</v>
      </c>
      <c r="M405" s="7">
        <v>11.78723385</v>
      </c>
      <c r="N405" s="7">
        <f t="shared" si="54"/>
        <v>4.9309338690681323E-4</v>
      </c>
      <c r="O405" s="8">
        <v>9.5963772610000007</v>
      </c>
      <c r="P405" s="8">
        <f t="shared" si="55"/>
        <v>4.0144364877108278E-4</v>
      </c>
      <c r="Q405" s="8">
        <v>1.139336739</v>
      </c>
      <c r="R405" s="8">
        <f t="shared" si="56"/>
        <v>4.7661683700359765E-5</v>
      </c>
      <c r="S405" s="8">
        <v>3.3507250169999998</v>
      </c>
      <c r="T405" s="8">
        <f t="shared" si="57"/>
        <v>1.4017032055624478E-4</v>
      </c>
      <c r="U405" s="8">
        <v>2.2849788999999999E-2</v>
      </c>
      <c r="V405" s="8">
        <f t="shared" si="58"/>
        <v>9.5587141067164321E-7</v>
      </c>
      <c r="W405" s="8">
        <v>1.8151252999999999E-2</v>
      </c>
      <c r="X405" s="8">
        <f t="shared" si="59"/>
        <v>3.9986809232216425E-11</v>
      </c>
      <c r="Y405" s="8">
        <v>4.4592113000000003E-2</v>
      </c>
      <c r="Z405" s="8">
        <f t="shared" si="60"/>
        <v>1.8654144227826053E-6</v>
      </c>
      <c r="AA405" s="8">
        <v>2.4564444000000001E-2</v>
      </c>
      <c r="AB405" s="8">
        <f t="shared" si="61"/>
        <v>1.0276002871905987E-6</v>
      </c>
      <c r="AC405" s="8">
        <v>8.1603462320000002</v>
      </c>
      <c r="AD405" s="18">
        <f t="shared" si="62"/>
        <v>3.4137040234160889E-4</v>
      </c>
      <c r="AE405" s="9">
        <v>51.4</v>
      </c>
      <c r="AF405" s="10">
        <v>49.5</v>
      </c>
      <c r="AG405" s="10">
        <v>55.2</v>
      </c>
      <c r="AH405" s="10">
        <v>69</v>
      </c>
      <c r="AI405" s="10">
        <v>67.099999999999994</v>
      </c>
      <c r="AJ405" s="10">
        <v>65.5</v>
      </c>
      <c r="AK405" s="11">
        <v>23904.668290000001</v>
      </c>
      <c r="AL405" s="11">
        <v>58.766516000000003</v>
      </c>
      <c r="AM405" s="11">
        <v>2688.0663020000002</v>
      </c>
      <c r="AN405" s="11">
        <v>24.4</v>
      </c>
      <c r="AO405" s="11">
        <v>53.9</v>
      </c>
      <c r="AP405" s="19">
        <v>3.3741756999999999</v>
      </c>
    </row>
    <row r="406" spans="2:42">
      <c r="B406" t="s">
        <v>146</v>
      </c>
      <c r="C406" t="s">
        <v>147</v>
      </c>
      <c r="D406" t="s">
        <v>148</v>
      </c>
      <c r="E406" t="s">
        <v>35</v>
      </c>
      <c r="F406" t="s">
        <v>36</v>
      </c>
      <c r="G406" t="s">
        <v>37</v>
      </c>
      <c r="H406" t="s">
        <v>38</v>
      </c>
      <c r="I406" t="s">
        <v>39</v>
      </c>
      <c r="J406" t="s">
        <v>40</v>
      </c>
      <c r="K406">
        <v>2016</v>
      </c>
      <c r="L406">
        <v>0.73716336148477701</v>
      </c>
      <c r="M406" s="7">
        <v>1.1777891739999999</v>
      </c>
      <c r="N406" s="7">
        <f t="shared" si="54"/>
        <v>3.9433170927284737E-5</v>
      </c>
      <c r="O406" s="8">
        <v>1.6745993450000001</v>
      </c>
      <c r="P406" s="8">
        <f t="shared" si="55"/>
        <v>5.6066708426124541E-5</v>
      </c>
      <c r="Q406" s="8">
        <v>3.8585737000000002E-2</v>
      </c>
      <c r="R406" s="8">
        <f t="shared" si="56"/>
        <v>1.2918763358205694E-6</v>
      </c>
      <c r="S406" s="8">
        <v>0.67679873099999999</v>
      </c>
      <c r="T406" s="8">
        <f t="shared" si="57"/>
        <v>2.2659675120169175E-5</v>
      </c>
      <c r="U406" s="8">
        <v>2.3919161000000001E-2</v>
      </c>
      <c r="V406" s="8">
        <f t="shared" si="58"/>
        <v>8.0082954145938084E-7</v>
      </c>
      <c r="W406" s="8">
        <v>2.035027E-2</v>
      </c>
      <c r="X406" s="8">
        <f t="shared" si="59"/>
        <v>2.681230978269021E-11</v>
      </c>
      <c r="Y406" s="8">
        <v>1.3952516E-2</v>
      </c>
      <c r="Z406" s="8">
        <f t="shared" si="60"/>
        <v>4.6713958698152809E-7</v>
      </c>
      <c r="AA406" s="8">
        <v>7.0985010000000001E-3</v>
      </c>
      <c r="AB406" s="8">
        <f t="shared" si="61"/>
        <v>2.3766257106087277E-7</v>
      </c>
      <c r="AC406" s="8">
        <v>3.5630378110000001</v>
      </c>
      <c r="AD406" s="18">
        <f t="shared" si="62"/>
        <v>1.1929289394329367E-4</v>
      </c>
      <c r="AE406" s="9">
        <v>60.5</v>
      </c>
      <c r="AF406" s="10">
        <v>74.8</v>
      </c>
      <c r="AG406" s="10">
        <v>70.5</v>
      </c>
      <c r="AH406" s="10">
        <v>79</v>
      </c>
      <c r="AI406" s="10">
        <v>71.900000000000006</v>
      </c>
      <c r="AJ406" s="10">
        <v>76.400000000000006</v>
      </c>
      <c r="AK406" s="11">
        <v>29867.980339999998</v>
      </c>
      <c r="AL406" s="11">
        <v>39.2262895</v>
      </c>
      <c r="AM406" s="11">
        <v>5226.3037590000004</v>
      </c>
      <c r="AN406" s="11">
        <v>13.1</v>
      </c>
      <c r="AO406" s="11">
        <v>53.805999999999997</v>
      </c>
      <c r="AP406" s="19">
        <v>5.2777070100000003</v>
      </c>
    </row>
    <row r="407" spans="2:42">
      <c r="B407" t="s">
        <v>149</v>
      </c>
      <c r="C407" t="s">
        <v>150</v>
      </c>
      <c r="D407" t="s">
        <v>151</v>
      </c>
      <c r="E407" t="s">
        <v>35</v>
      </c>
      <c r="F407" t="s">
        <v>36</v>
      </c>
      <c r="G407" t="s">
        <v>37</v>
      </c>
      <c r="H407" t="s">
        <v>38</v>
      </c>
      <c r="I407" t="s">
        <v>39</v>
      </c>
      <c r="J407" t="s">
        <v>40</v>
      </c>
      <c r="K407">
        <v>2016</v>
      </c>
      <c r="L407">
        <v>0.56316760295921198</v>
      </c>
      <c r="M407" s="7">
        <v>66.036469949999997</v>
      </c>
      <c r="N407" s="7">
        <f t="shared" si="54"/>
        <v>1.9668241477301808E-3</v>
      </c>
      <c r="O407" s="8">
        <v>1.6131797059999999</v>
      </c>
      <c r="P407" s="8">
        <f t="shared" si="55"/>
        <v>4.8046796002139623E-5</v>
      </c>
      <c r="Q407" s="8">
        <v>0.185985171</v>
      </c>
      <c r="R407" s="8">
        <f t="shared" si="56"/>
        <v>5.5393652283275471E-6</v>
      </c>
      <c r="S407" s="8">
        <v>1.082017818</v>
      </c>
      <c r="T407" s="8">
        <f t="shared" si="57"/>
        <v>3.2226719179993356E-5</v>
      </c>
      <c r="U407" s="8">
        <v>5.0383570000000003E-3</v>
      </c>
      <c r="V407" s="8">
        <f t="shared" si="58"/>
        <v>1.5006196151896806E-7</v>
      </c>
      <c r="W407" s="8">
        <v>3.851719E-3</v>
      </c>
      <c r="X407" s="8">
        <f t="shared" si="59"/>
        <v>4.4694316609403126E-12</v>
      </c>
      <c r="Y407" s="8">
        <v>6.4400000000000004E-3</v>
      </c>
      <c r="Z407" s="8">
        <f t="shared" si="60"/>
        <v>1.918083677242709E-7</v>
      </c>
      <c r="AA407" s="8">
        <v>6.7810880000000002E-3</v>
      </c>
      <c r="AB407" s="8">
        <f t="shared" si="61"/>
        <v>2.0196730134699388E-7</v>
      </c>
      <c r="AC407" s="8">
        <v>0.40344657900000003</v>
      </c>
      <c r="AD407" s="18">
        <f t="shared" si="62"/>
        <v>1.2016215804647688E-5</v>
      </c>
      <c r="AE407" s="9">
        <v>76.2</v>
      </c>
      <c r="AF407" s="10">
        <v>82.9</v>
      </c>
      <c r="AG407" s="10">
        <v>83.8</v>
      </c>
      <c r="AH407" s="10">
        <v>71.400000000000006</v>
      </c>
      <c r="AI407" s="10">
        <v>84.3</v>
      </c>
      <c r="AJ407" s="10">
        <v>80.3</v>
      </c>
      <c r="AK407" s="11">
        <v>33575.177539999997</v>
      </c>
      <c r="AL407" s="11">
        <v>30.65634</v>
      </c>
      <c r="AM407" s="11">
        <v>6996.4678679999997</v>
      </c>
      <c r="AN407" s="11">
        <v>21</v>
      </c>
      <c r="AO407" s="11">
        <v>54.02</v>
      </c>
      <c r="AP407" s="19">
        <v>3.2654139500000001</v>
      </c>
    </row>
    <row r="408" spans="2:42">
      <c r="B408" t="s">
        <v>152</v>
      </c>
      <c r="C408" t="s">
        <v>153</v>
      </c>
      <c r="D408" t="s">
        <v>154</v>
      </c>
      <c r="E408" t="s">
        <v>35</v>
      </c>
      <c r="F408" t="s">
        <v>36</v>
      </c>
      <c r="G408" t="s">
        <v>37</v>
      </c>
      <c r="H408" t="s">
        <v>38</v>
      </c>
      <c r="I408" t="s">
        <v>39</v>
      </c>
      <c r="J408" t="s">
        <v>40</v>
      </c>
      <c r="K408">
        <v>2016</v>
      </c>
      <c r="L408">
        <v>0.834859584859585</v>
      </c>
      <c r="M408" s="7">
        <v>1.1777891739999999</v>
      </c>
      <c r="N408" s="7">
        <f t="shared" si="54"/>
        <v>3.131358778052622E-5</v>
      </c>
      <c r="O408" s="8">
        <v>27.249900889999999</v>
      </c>
      <c r="P408" s="8">
        <f t="shared" si="55"/>
        <v>7.2448633623597449E-4</v>
      </c>
      <c r="Q408" s="8">
        <v>0.79958069899999995</v>
      </c>
      <c r="R408" s="8">
        <f t="shared" si="56"/>
        <v>2.1258253139412042E-5</v>
      </c>
      <c r="S408" s="8">
        <v>1.143054502</v>
      </c>
      <c r="T408" s="8">
        <f t="shared" si="57"/>
        <v>3.0390105696711632E-5</v>
      </c>
      <c r="U408" s="8">
        <v>9.1444683999999998E-2</v>
      </c>
      <c r="V408" s="8">
        <f t="shared" si="58"/>
        <v>2.4312170655904515E-6</v>
      </c>
      <c r="W408" s="8">
        <v>0.111716964</v>
      </c>
      <c r="X408" s="8">
        <f t="shared" si="59"/>
        <v>6.4638163329628284E-11</v>
      </c>
      <c r="Y408" s="8">
        <v>4.0240987999999998E-2</v>
      </c>
      <c r="Z408" s="8">
        <f t="shared" si="60"/>
        <v>1.0698771375471162E-6</v>
      </c>
      <c r="AA408" s="8">
        <v>0.14324597999999999</v>
      </c>
      <c r="AB408" s="8">
        <f t="shared" si="61"/>
        <v>3.8084452361739094E-6</v>
      </c>
      <c r="AC408" s="8">
        <v>15.55131426</v>
      </c>
      <c r="AD408" s="18">
        <f t="shared" si="62"/>
        <v>4.1345892366222343E-4</v>
      </c>
      <c r="AE408" s="9">
        <v>68.099999999999994</v>
      </c>
      <c r="AF408" s="10">
        <v>83.3</v>
      </c>
      <c r="AG408" s="10">
        <v>60</v>
      </c>
      <c r="AH408" s="10">
        <v>81.400000000000006</v>
      </c>
      <c r="AI408" s="10">
        <v>80.5</v>
      </c>
      <c r="AJ408" s="10">
        <v>82.3</v>
      </c>
      <c r="AK408" s="11">
        <v>37612.718869999997</v>
      </c>
      <c r="AL408" s="11">
        <v>52.577247399999997</v>
      </c>
      <c r="AM408" s="11">
        <v>5504.2669699999997</v>
      </c>
      <c r="AN408" s="11">
        <v>16.7</v>
      </c>
      <c r="AO408" s="11">
        <v>79.84</v>
      </c>
      <c r="AP408" s="19">
        <v>3.6172247999999998</v>
      </c>
    </row>
    <row r="409" spans="2:42">
      <c r="B409" t="s">
        <v>155</v>
      </c>
      <c r="C409" t="s">
        <v>156</v>
      </c>
      <c r="D409" t="s">
        <v>157</v>
      </c>
      <c r="E409" t="s">
        <v>35</v>
      </c>
      <c r="F409" t="s">
        <v>36</v>
      </c>
      <c r="G409" t="s">
        <v>37</v>
      </c>
      <c r="H409" t="s">
        <v>38</v>
      </c>
      <c r="I409" t="s">
        <v>39</v>
      </c>
      <c r="J409" t="s">
        <v>40</v>
      </c>
      <c r="K409">
        <v>2016</v>
      </c>
      <c r="L409">
        <v>0.438252868439655</v>
      </c>
      <c r="M409" s="7">
        <v>57.19533406</v>
      </c>
      <c r="N409" s="7">
        <f t="shared" si="54"/>
        <v>1.1373155122232019E-3</v>
      </c>
      <c r="O409" s="8">
        <v>4.027757834</v>
      </c>
      <c r="P409" s="8">
        <f t="shared" si="55"/>
        <v>8.0090999368606967E-5</v>
      </c>
      <c r="Q409" s="8">
        <v>0.38838625500000001</v>
      </c>
      <c r="R409" s="8">
        <f t="shared" si="56"/>
        <v>7.7229676127496363E-6</v>
      </c>
      <c r="S409" s="8">
        <v>0.15622467700000001</v>
      </c>
      <c r="T409" s="8">
        <f t="shared" si="57"/>
        <v>3.1064902664572232E-6</v>
      </c>
      <c r="U409" s="8">
        <v>0.17370759</v>
      </c>
      <c r="V409" s="8">
        <f t="shared" si="58"/>
        <v>3.4541338020800773E-6</v>
      </c>
      <c r="W409" s="8">
        <v>0.20136296000000001</v>
      </c>
      <c r="X409" s="8">
        <f t="shared" si="59"/>
        <v>6.8684622949821429E-11</v>
      </c>
      <c r="Y409" s="8">
        <v>1.0827279E-2</v>
      </c>
      <c r="Z409" s="8">
        <f t="shared" si="60"/>
        <v>2.1529784840404372E-7</v>
      </c>
      <c r="AA409" s="8">
        <v>7.9318658E-2</v>
      </c>
      <c r="AB409" s="8">
        <f t="shared" si="61"/>
        <v>1.5772325074191021E-6</v>
      </c>
      <c r="AC409" s="8">
        <v>3.0713737210000001</v>
      </c>
      <c r="AD409" s="18">
        <f t="shared" si="62"/>
        <v>6.1073530457284939E-5</v>
      </c>
      <c r="AE409" s="9">
        <v>98.1</v>
      </c>
      <c r="AF409" s="10">
        <v>94.3</v>
      </c>
      <c r="AG409" s="10">
        <v>87.1</v>
      </c>
      <c r="AH409" s="10">
        <v>97.1</v>
      </c>
      <c r="AI409" s="10">
        <v>99</v>
      </c>
      <c r="AJ409" s="10">
        <v>99.5</v>
      </c>
      <c r="AK409" s="11">
        <v>50289.768709999997</v>
      </c>
      <c r="AL409" s="11">
        <v>7.4167470800000004</v>
      </c>
      <c r="AM409" s="11">
        <v>13675.787319999999</v>
      </c>
      <c r="AN409" s="11">
        <v>50.9</v>
      </c>
      <c r="AO409" s="11">
        <v>86.852000000000004</v>
      </c>
      <c r="AP409" s="19">
        <v>3.0085390799999998</v>
      </c>
    </row>
    <row r="410" spans="2:42">
      <c r="B410" t="s">
        <v>158</v>
      </c>
      <c r="C410" t="s">
        <v>159</v>
      </c>
      <c r="D410" t="s">
        <v>160</v>
      </c>
      <c r="E410" t="s">
        <v>35</v>
      </c>
      <c r="F410" t="s">
        <v>36</v>
      </c>
      <c r="G410" t="s">
        <v>37</v>
      </c>
      <c r="H410" t="s">
        <v>38</v>
      </c>
      <c r="I410" t="s">
        <v>39</v>
      </c>
      <c r="J410" t="s">
        <v>40</v>
      </c>
      <c r="K410">
        <v>2016</v>
      </c>
      <c r="L410">
        <v>0.58887464253322397</v>
      </c>
      <c r="M410" s="7">
        <v>66.036469949999997</v>
      </c>
      <c r="N410" s="7">
        <f t="shared" si="54"/>
        <v>9.804860096805331E-4</v>
      </c>
      <c r="O410" s="8">
        <v>4.1887562589999998</v>
      </c>
      <c r="P410" s="8">
        <f t="shared" si="55"/>
        <v>6.2193162551252751E-5</v>
      </c>
      <c r="Q410" s="8">
        <v>0.27769822500000002</v>
      </c>
      <c r="R410" s="8">
        <f t="shared" si="56"/>
        <v>4.1231644382532126E-6</v>
      </c>
      <c r="S410" s="8">
        <v>0.72514892799999997</v>
      </c>
      <c r="T410" s="8">
        <f t="shared" si="57"/>
        <v>1.0766753270990619E-5</v>
      </c>
      <c r="U410" s="8">
        <v>1.9988078999999999E-2</v>
      </c>
      <c r="V410" s="8">
        <f t="shared" si="58"/>
        <v>2.9677588512420567E-7</v>
      </c>
      <c r="W410" s="8">
        <v>4.3958087E-2</v>
      </c>
      <c r="X410" s="8">
        <f t="shared" si="59"/>
        <v>4.4064227478416375E-12</v>
      </c>
      <c r="Y410" s="8">
        <v>2.90332E-3</v>
      </c>
      <c r="Z410" s="8">
        <f t="shared" si="60"/>
        <v>4.3107462342869909E-8</v>
      </c>
      <c r="AA410" s="8">
        <v>2.7356643999999999E-2</v>
      </c>
      <c r="AB410" s="8">
        <f t="shared" si="61"/>
        <v>4.0618171646849057E-7</v>
      </c>
      <c r="AC410" s="8">
        <v>0.23281769199999999</v>
      </c>
      <c r="AD410" s="18">
        <f t="shared" si="62"/>
        <v>3.4567942530082407E-6</v>
      </c>
      <c r="AE410" s="9">
        <v>95.7</v>
      </c>
      <c r="AF410" s="10">
        <v>99.5</v>
      </c>
      <c r="AG410" s="10">
        <v>94.3</v>
      </c>
      <c r="AH410" s="10">
        <v>98.1</v>
      </c>
      <c r="AI410" s="10">
        <v>98.1</v>
      </c>
      <c r="AJ410" s="10">
        <v>97.5</v>
      </c>
      <c r="AK410" s="11">
        <v>67350.751869999993</v>
      </c>
      <c r="AL410" s="11">
        <v>38.338660699999998</v>
      </c>
      <c r="AM410" s="11">
        <v>7479.6932839999999</v>
      </c>
      <c r="AN410" s="11">
        <v>24.1</v>
      </c>
      <c r="AO410" s="11">
        <v>73.739000000000004</v>
      </c>
      <c r="AP410" s="19">
        <v>24.2480735</v>
      </c>
    </row>
    <row r="411" spans="2:42">
      <c r="B411" t="s">
        <v>161</v>
      </c>
      <c r="C411" t="s">
        <v>162</v>
      </c>
      <c r="D411" t="s">
        <v>163</v>
      </c>
      <c r="E411" t="s">
        <v>35</v>
      </c>
      <c r="F411" t="s">
        <v>36</v>
      </c>
      <c r="G411" t="s">
        <v>37</v>
      </c>
      <c r="H411" t="s">
        <v>38</v>
      </c>
      <c r="I411" t="s">
        <v>39</v>
      </c>
      <c r="J411" t="s">
        <v>40</v>
      </c>
      <c r="K411">
        <v>2016</v>
      </c>
      <c r="L411">
        <v>0.372840549644191</v>
      </c>
      <c r="M411" s="7">
        <v>73.647598220000006</v>
      </c>
      <c r="N411" s="7">
        <f t="shared" si="54"/>
        <v>2.7587590204889503E-3</v>
      </c>
      <c r="O411" s="8">
        <v>39.147322330000002</v>
      </c>
      <c r="P411" s="8">
        <f t="shared" si="55"/>
        <v>1.4664161658505747E-3</v>
      </c>
      <c r="Q411" s="8">
        <v>1.765614555</v>
      </c>
      <c r="R411" s="8">
        <f t="shared" si="56"/>
        <v>6.6138003112640187E-5</v>
      </c>
      <c r="S411" s="8">
        <v>7.4915075499999997</v>
      </c>
      <c r="T411" s="8">
        <f t="shared" si="57"/>
        <v>2.8062373424434498E-4</v>
      </c>
      <c r="U411" s="8">
        <v>6.7373562999999997E-2</v>
      </c>
      <c r="V411" s="8">
        <f t="shared" si="58"/>
        <v>2.52374047709618E-6</v>
      </c>
      <c r="W411" s="8">
        <v>8.9618076000000005E-2</v>
      </c>
      <c r="X411" s="8">
        <f t="shared" si="59"/>
        <v>9.4536576546109841E-11</v>
      </c>
      <c r="Y411" s="8">
        <v>1.6146771000000001E-2</v>
      </c>
      <c r="Z411" s="8">
        <f t="shared" si="60"/>
        <v>6.048405002285951E-7</v>
      </c>
      <c r="AA411" s="8">
        <v>0.30733823999999998</v>
      </c>
      <c r="AB411" s="8">
        <f t="shared" si="61"/>
        <v>1.151255658614196E-5</v>
      </c>
      <c r="AC411" s="8">
        <v>50.055180399999998</v>
      </c>
      <c r="AD411" s="18">
        <f t="shared" si="62"/>
        <v>1.8750126791399076E-3</v>
      </c>
      <c r="AE411" s="9">
        <v>50</v>
      </c>
      <c r="AF411" s="10">
        <v>53.3</v>
      </c>
      <c r="AG411" s="10">
        <v>4.8</v>
      </c>
      <c r="AH411" s="10">
        <v>61.4</v>
      </c>
      <c r="AI411" s="10">
        <v>40</v>
      </c>
      <c r="AJ411" s="10">
        <v>30</v>
      </c>
      <c r="AK411" s="11">
        <v>26695.915690000002</v>
      </c>
      <c r="AL411" s="11">
        <v>49.800553499999999</v>
      </c>
      <c r="AM411" s="11">
        <v>3073.6789119999999</v>
      </c>
      <c r="AN411" s="11">
        <v>13.2</v>
      </c>
      <c r="AO411" s="11">
        <v>74.134</v>
      </c>
      <c r="AP411" s="19">
        <v>1.5908097400000001</v>
      </c>
    </row>
    <row r="412" spans="2:42">
      <c r="B412" t="s">
        <v>164</v>
      </c>
      <c r="C412" t="s">
        <v>165</v>
      </c>
      <c r="D412" t="s">
        <v>166</v>
      </c>
      <c r="E412" t="s">
        <v>35</v>
      </c>
      <c r="F412" t="s">
        <v>36</v>
      </c>
      <c r="G412" t="s">
        <v>37</v>
      </c>
      <c r="H412" t="s">
        <v>38</v>
      </c>
      <c r="I412" t="s">
        <v>39</v>
      </c>
      <c r="J412" t="s">
        <v>40</v>
      </c>
      <c r="K412">
        <v>2016</v>
      </c>
      <c r="L412">
        <v>0.19762238247686001</v>
      </c>
      <c r="M412" s="7">
        <v>44.864396579999998</v>
      </c>
      <c r="N412" s="7">
        <f t="shared" si="54"/>
        <v>2.0719736956397318E-2</v>
      </c>
      <c r="O412" s="8">
        <v>18.422889810000001</v>
      </c>
      <c r="P412" s="8">
        <f t="shared" si="55"/>
        <v>8.5082484093870012E-3</v>
      </c>
      <c r="Q412" s="8">
        <v>3.3315725879999998</v>
      </c>
      <c r="R412" s="8">
        <f t="shared" si="56"/>
        <v>1.5386211102029238E-3</v>
      </c>
      <c r="S412" s="8">
        <v>5.1559200000000001</v>
      </c>
      <c r="T412" s="8">
        <f t="shared" si="57"/>
        <v>2.3811599912579961E-3</v>
      </c>
      <c r="U412" s="8">
        <v>9.2120459000000002E-2</v>
      </c>
      <c r="V412" s="8">
        <f t="shared" si="58"/>
        <v>4.2544017623842609E-5</v>
      </c>
      <c r="W412" s="8">
        <v>3.7234600000000001E-3</v>
      </c>
      <c r="X412" s="8">
        <f t="shared" si="59"/>
        <v>1.9648115687068282E-8</v>
      </c>
      <c r="Y412" s="8"/>
      <c r="Z412" s="8">
        <f t="shared" si="60"/>
        <v>0</v>
      </c>
      <c r="AA412" s="8">
        <v>1.9908017E-2</v>
      </c>
      <c r="AB412" s="8">
        <f t="shared" si="61"/>
        <v>9.1941251194130318E-6</v>
      </c>
      <c r="AC412" s="8">
        <v>3.0162419009999999</v>
      </c>
      <c r="AD412" s="18">
        <f t="shared" si="62"/>
        <v>1.3929918498768719E-3</v>
      </c>
      <c r="AE412" s="9">
        <v>12.9</v>
      </c>
      <c r="AF412" s="10">
        <v>30.5</v>
      </c>
      <c r="AG412" s="10">
        <v>21.4</v>
      </c>
      <c r="AH412" s="10">
        <v>43.3</v>
      </c>
      <c r="AI412" s="10">
        <v>44.8</v>
      </c>
      <c r="AJ412" s="10">
        <v>28.6</v>
      </c>
      <c r="AK412" s="11">
        <v>2165.2975940000001</v>
      </c>
      <c r="AL412" s="11">
        <v>71.888091000000003</v>
      </c>
      <c r="AM412" s="11">
        <v>75.9552683</v>
      </c>
      <c r="AN412" s="11">
        <v>91.4</v>
      </c>
      <c r="AO412" s="11">
        <v>22.623999999999999</v>
      </c>
      <c r="AP412" s="19">
        <v>2.14253049</v>
      </c>
    </row>
    <row r="413" spans="2:42">
      <c r="B413" t="s">
        <v>167</v>
      </c>
      <c r="C413" t="s">
        <v>168</v>
      </c>
      <c r="D413" t="s">
        <v>169</v>
      </c>
      <c r="E413" t="s">
        <v>35</v>
      </c>
      <c r="F413" t="s">
        <v>36</v>
      </c>
      <c r="G413" t="s">
        <v>37</v>
      </c>
      <c r="H413" t="s">
        <v>38</v>
      </c>
      <c r="I413" t="s">
        <v>39</v>
      </c>
      <c r="J413" t="s">
        <v>40</v>
      </c>
      <c r="K413">
        <v>2016</v>
      </c>
      <c r="L413">
        <v>0.26224056927089201</v>
      </c>
      <c r="M413" s="7">
        <v>49058.44126</v>
      </c>
      <c r="N413" s="7">
        <f t="shared" si="54"/>
        <v>4.5154154633187629</v>
      </c>
      <c r="O413" s="8">
        <v>13.95621929</v>
      </c>
      <c r="P413" s="8">
        <f t="shared" si="55"/>
        <v>1.2845521947497278E-3</v>
      </c>
      <c r="Q413" s="8">
        <v>0.74032536599999998</v>
      </c>
      <c r="R413" s="8">
        <f t="shared" si="56"/>
        <v>6.814070157278215E-5</v>
      </c>
      <c r="S413" s="8">
        <v>43.106985649999999</v>
      </c>
      <c r="T413" s="8">
        <f t="shared" si="57"/>
        <v>3.9676342048758769E-3</v>
      </c>
      <c r="U413" s="8">
        <v>4.4342701999999998E-2</v>
      </c>
      <c r="V413" s="8">
        <f t="shared" si="58"/>
        <v>4.0813714654116145E-6</v>
      </c>
      <c r="W413" s="8">
        <v>5.7612947999999997E-2</v>
      </c>
      <c r="X413" s="8">
        <f t="shared" si="59"/>
        <v>3.7565579649783524E-10</v>
      </c>
      <c r="Y413" s="8">
        <v>0.11865743099999999</v>
      </c>
      <c r="Z413" s="8">
        <f t="shared" si="60"/>
        <v>1.0921415051397805E-5</v>
      </c>
      <c r="AA413" s="8">
        <v>9.9746051000000002E-2</v>
      </c>
      <c r="AB413" s="8">
        <f t="shared" si="61"/>
        <v>9.1807821349923991E-6</v>
      </c>
      <c r="AC413" s="8">
        <v>9.7681841590000005</v>
      </c>
      <c r="AD413" s="18">
        <f t="shared" si="62"/>
        <v>8.9907890807890676E-4</v>
      </c>
      <c r="AE413" s="9">
        <v>19</v>
      </c>
      <c r="AF413" s="10">
        <v>31.4</v>
      </c>
      <c r="AG413" s="10">
        <v>6.7</v>
      </c>
      <c r="AH413" s="10">
        <v>38.6</v>
      </c>
      <c r="AI413" s="10">
        <v>20</v>
      </c>
      <c r="AJ413" s="10">
        <v>47.8</v>
      </c>
      <c r="AK413" s="11">
        <v>10864.657230000001</v>
      </c>
      <c r="AL413" s="11">
        <v>71.6653144</v>
      </c>
      <c r="AM413" s="11">
        <v>3160.982332</v>
      </c>
      <c r="AN413" s="11">
        <v>5.5</v>
      </c>
      <c r="AO413" s="11">
        <v>69.153999999999996</v>
      </c>
      <c r="AP413" s="19">
        <v>4.4217894700000002</v>
      </c>
    </row>
    <row r="414" spans="2:42">
      <c r="B414" t="s">
        <v>170</v>
      </c>
      <c r="C414" t="s">
        <v>171</v>
      </c>
      <c r="D414" t="s">
        <v>172</v>
      </c>
      <c r="E414" t="s">
        <v>35</v>
      </c>
      <c r="F414" t="s">
        <v>36</v>
      </c>
      <c r="G414" t="s">
        <v>37</v>
      </c>
      <c r="H414" t="s">
        <v>38</v>
      </c>
      <c r="I414" t="s">
        <v>39</v>
      </c>
      <c r="J414" t="s">
        <v>40</v>
      </c>
      <c r="K414">
        <v>2016</v>
      </c>
      <c r="L414">
        <v>0.73934935273460101</v>
      </c>
      <c r="M414" s="7">
        <v>317.86008609999999</v>
      </c>
      <c r="N414" s="7">
        <f t="shared" si="54"/>
        <v>7.2101310109076201E-3</v>
      </c>
      <c r="O414" s="8">
        <v>32.979146190000002</v>
      </c>
      <c r="P414" s="8">
        <f t="shared" si="55"/>
        <v>7.480774562647264E-4</v>
      </c>
      <c r="Q414" s="8">
        <v>0.736141241</v>
      </c>
      <c r="R414" s="8">
        <f t="shared" si="56"/>
        <v>1.6698148091711977E-5</v>
      </c>
      <c r="S414" s="8">
        <v>4.3330767850000003</v>
      </c>
      <c r="T414" s="8">
        <f t="shared" si="57"/>
        <v>9.8288689478123173E-5</v>
      </c>
      <c r="U414" s="8">
        <v>7.0474707999999997E-2</v>
      </c>
      <c r="V414" s="8">
        <f t="shared" si="58"/>
        <v>1.5986023406398974E-6</v>
      </c>
      <c r="W414" s="8">
        <v>0.30700470200000002</v>
      </c>
      <c r="X414" s="8">
        <f t="shared" si="59"/>
        <v>3.6261653521137806E-11</v>
      </c>
      <c r="Y414" s="8">
        <v>6.4292958999999997E-2</v>
      </c>
      <c r="Z414" s="8">
        <f t="shared" si="60"/>
        <v>1.4583795756069675E-6</v>
      </c>
      <c r="AA414" s="8">
        <v>0.14520903199999999</v>
      </c>
      <c r="AB414" s="8">
        <f t="shared" si="61"/>
        <v>3.2938270341929441E-6</v>
      </c>
      <c r="AC414" s="8">
        <v>9.1770161849999994</v>
      </c>
      <c r="AD414" s="18">
        <f t="shared" si="62"/>
        <v>2.0816545353307775E-4</v>
      </c>
      <c r="AE414" s="9">
        <v>94.3</v>
      </c>
      <c r="AF414" s="10">
        <v>92.4</v>
      </c>
      <c r="AG414" s="10">
        <v>58.1</v>
      </c>
      <c r="AH414" s="10">
        <v>95.2</v>
      </c>
      <c r="AI414" s="10">
        <v>92.4</v>
      </c>
      <c r="AJ414" s="10">
        <v>93.1</v>
      </c>
      <c r="AK414" s="11">
        <v>44085.202559999998</v>
      </c>
      <c r="AL414" s="11">
        <v>71.714883599999993</v>
      </c>
      <c r="AM414" s="11">
        <v>5009.5416649999997</v>
      </c>
      <c r="AN414" s="11">
        <v>7.7</v>
      </c>
      <c r="AO414" s="11">
        <v>82.885999999999996</v>
      </c>
      <c r="AP414" s="19">
        <v>12.0788528</v>
      </c>
    </row>
    <row r="415" spans="2:42">
      <c r="B415" t="s">
        <v>173</v>
      </c>
      <c r="C415" t="s">
        <v>174</v>
      </c>
      <c r="D415" t="s">
        <v>175</v>
      </c>
      <c r="E415" t="s">
        <v>35</v>
      </c>
      <c r="F415" t="s">
        <v>36</v>
      </c>
      <c r="G415" t="s">
        <v>37</v>
      </c>
      <c r="H415" t="s">
        <v>38</v>
      </c>
      <c r="I415" t="s">
        <v>39</v>
      </c>
      <c r="J415" t="s">
        <v>40</v>
      </c>
      <c r="K415">
        <v>2016</v>
      </c>
      <c r="L415">
        <v>5.6455706451941298E-2</v>
      </c>
      <c r="M415" s="7">
        <v>24.219764999999999</v>
      </c>
      <c r="N415" s="7">
        <f t="shared" si="54"/>
        <v>7.3097487773237015E-3</v>
      </c>
      <c r="O415" s="8">
        <v>4.8898520190000001</v>
      </c>
      <c r="P415" s="8">
        <f t="shared" si="55"/>
        <v>1.4758025033347385E-3</v>
      </c>
      <c r="Q415" s="8">
        <v>1.6634901529999999</v>
      </c>
      <c r="R415" s="8">
        <f t="shared" si="56"/>
        <v>5.0205669262198729E-4</v>
      </c>
      <c r="S415" s="8">
        <v>3.6635215090000002</v>
      </c>
      <c r="T415" s="8">
        <f t="shared" si="57"/>
        <v>1.1056846286952758E-3</v>
      </c>
      <c r="U415" s="8">
        <v>6.2721186999999998E-2</v>
      </c>
      <c r="V415" s="8">
        <f t="shared" si="58"/>
        <v>1.8929833546508036E-5</v>
      </c>
      <c r="W415" s="8">
        <v>3.81989E-4</v>
      </c>
      <c r="X415" s="8">
        <f t="shared" si="59"/>
        <v>5.7131986054170347E-9</v>
      </c>
      <c r="Y415" s="8"/>
      <c r="Z415" s="8">
        <f t="shared" si="60"/>
        <v>0</v>
      </c>
      <c r="AA415" s="8">
        <v>1.4109442999999999E-2</v>
      </c>
      <c r="AB415" s="8">
        <f t="shared" si="61"/>
        <v>4.2583602160453851E-6</v>
      </c>
      <c r="AC415" s="8">
        <v>0.75769000099999995</v>
      </c>
      <c r="AD415" s="18">
        <f t="shared" si="62"/>
        <v>2.2867784053231499E-4</v>
      </c>
      <c r="AE415" s="9">
        <v>41.4</v>
      </c>
      <c r="AF415" s="10">
        <v>24.3</v>
      </c>
      <c r="AG415" s="10">
        <v>50</v>
      </c>
      <c r="AH415" s="10">
        <v>31</v>
      </c>
      <c r="AI415" s="10">
        <v>43.3</v>
      </c>
      <c r="AJ415" s="10">
        <v>36.5</v>
      </c>
      <c r="AK415" s="11">
        <v>3313.351216</v>
      </c>
      <c r="AL415" s="11">
        <v>31.933440099999999</v>
      </c>
      <c r="AM415" s="11">
        <v>661.32909170000005</v>
      </c>
      <c r="AN415" s="11">
        <v>84</v>
      </c>
      <c r="AO415" s="11">
        <v>42.438000000000002</v>
      </c>
      <c r="AP415" s="19">
        <v>3.16251975</v>
      </c>
    </row>
    <row r="416" spans="2:42">
      <c r="B416" t="s">
        <v>32</v>
      </c>
      <c r="C416" t="s">
        <v>33</v>
      </c>
      <c r="D416" t="s">
        <v>34</v>
      </c>
      <c r="E416" t="s">
        <v>35</v>
      </c>
      <c r="F416" t="s">
        <v>36</v>
      </c>
      <c r="G416" t="s">
        <v>37</v>
      </c>
      <c r="H416" t="s">
        <v>38</v>
      </c>
      <c r="I416" t="s">
        <v>39</v>
      </c>
      <c r="J416" t="s">
        <v>40</v>
      </c>
      <c r="K416">
        <v>2017</v>
      </c>
      <c r="L416">
        <v>0.78264922267718595</v>
      </c>
      <c r="M416" s="7">
        <v>613.43024809999997</v>
      </c>
      <c r="N416" s="7">
        <f t="shared" si="54"/>
        <v>1.2681740298414708E-2</v>
      </c>
      <c r="O416" s="8">
        <v>77.71238907</v>
      </c>
      <c r="P416" s="8">
        <f t="shared" si="55"/>
        <v>1.6065858167372978E-3</v>
      </c>
      <c r="Q416" s="8">
        <v>0.46195140299999998</v>
      </c>
      <c r="R416" s="8">
        <f t="shared" si="56"/>
        <v>9.5501448477305913E-6</v>
      </c>
      <c r="S416" s="8">
        <v>56.429529580000001</v>
      </c>
      <c r="T416" s="8">
        <f t="shared" si="57"/>
        <v>1.1665949657875549E-3</v>
      </c>
      <c r="U416" s="8">
        <v>0.16941130800000001</v>
      </c>
      <c r="V416" s="8">
        <f t="shared" si="58"/>
        <v>3.5023219319966011E-6</v>
      </c>
      <c r="W416" s="8">
        <v>0.121274827</v>
      </c>
      <c r="X416" s="8">
        <f t="shared" si="59"/>
        <v>7.2405195734303659E-11</v>
      </c>
      <c r="Y416" s="8">
        <v>2.4945669E-2</v>
      </c>
      <c r="Z416" s="8">
        <f t="shared" si="60"/>
        <v>5.1571388402849542E-7</v>
      </c>
      <c r="AA416" s="8">
        <v>0.21826060999999999</v>
      </c>
      <c r="AB416" s="8">
        <f t="shared" si="61"/>
        <v>4.5122071856853647E-6</v>
      </c>
      <c r="AC416" s="8">
        <v>11.67921027</v>
      </c>
      <c r="AD416" s="18">
        <f t="shared" si="62"/>
        <v>2.4144996434961085E-4</v>
      </c>
      <c r="AE416" s="9">
        <v>92.9</v>
      </c>
      <c r="AF416" s="10">
        <v>91.4</v>
      </c>
      <c r="AG416" s="10">
        <v>77.599999999999994</v>
      </c>
      <c r="AH416" s="10">
        <v>98.1</v>
      </c>
      <c r="AI416" s="10">
        <v>93.3</v>
      </c>
      <c r="AJ416" s="10">
        <v>94.1</v>
      </c>
      <c r="AK416" s="11">
        <v>48371.141000000003</v>
      </c>
      <c r="AL416" s="11">
        <v>48.340617899999998</v>
      </c>
      <c r="AM416" s="11">
        <v>10033.99886</v>
      </c>
      <c r="AN416" s="11">
        <v>9.9</v>
      </c>
      <c r="AO416" s="11">
        <v>85.903999999999996</v>
      </c>
      <c r="AP416" s="19">
        <v>3.6360895100000001</v>
      </c>
    </row>
    <row r="417" spans="2:42">
      <c r="B417" t="s">
        <v>41</v>
      </c>
      <c r="C417" t="s">
        <v>42</v>
      </c>
      <c r="D417" t="s">
        <v>43</v>
      </c>
      <c r="E417" t="s">
        <v>35</v>
      </c>
      <c r="F417" t="s">
        <v>36</v>
      </c>
      <c r="G417" t="s">
        <v>37</v>
      </c>
      <c r="H417" t="s">
        <v>38</v>
      </c>
      <c r="I417" t="s">
        <v>39</v>
      </c>
      <c r="J417" t="s">
        <v>40</v>
      </c>
      <c r="K417">
        <v>2017</v>
      </c>
      <c r="L417">
        <v>0.358450711470434</v>
      </c>
      <c r="M417" s="7">
        <v>85.163053669999996</v>
      </c>
      <c r="N417" s="7">
        <f t="shared" si="54"/>
        <v>1.5809043822578E-3</v>
      </c>
      <c r="O417" s="8">
        <v>5.4694473019999998</v>
      </c>
      <c r="P417" s="8">
        <f t="shared" si="55"/>
        <v>1.0153080280288054E-4</v>
      </c>
      <c r="Q417" s="8">
        <v>0.73973270099999999</v>
      </c>
      <c r="R417" s="8">
        <f t="shared" si="56"/>
        <v>1.3731854581469225E-5</v>
      </c>
      <c r="S417" s="8">
        <v>0.74694212500000001</v>
      </c>
      <c r="T417" s="8">
        <f t="shared" si="57"/>
        <v>1.3865685033807379E-5</v>
      </c>
      <c r="U417" s="8">
        <v>6.2986102000000002E-2</v>
      </c>
      <c r="V417" s="8">
        <f t="shared" si="58"/>
        <v>1.1692277388147911E-6</v>
      </c>
      <c r="W417" s="8">
        <v>8.8472562000000005E-2</v>
      </c>
      <c r="X417" s="8">
        <f t="shared" si="59"/>
        <v>2.1704685030579433E-11</v>
      </c>
      <c r="Y417" s="8">
        <v>1.9383955000000001E-2</v>
      </c>
      <c r="Z417" s="8">
        <f t="shared" si="60"/>
        <v>3.5982950451414922E-7</v>
      </c>
      <c r="AA417" s="8">
        <v>2.7793401999999998E-2</v>
      </c>
      <c r="AB417" s="8">
        <f t="shared" si="61"/>
        <v>5.1593630249464382E-7</v>
      </c>
      <c r="AC417" s="8">
        <v>2.08114562</v>
      </c>
      <c r="AD417" s="18">
        <f t="shared" si="62"/>
        <v>3.8632858839508854E-5</v>
      </c>
      <c r="AE417" s="9">
        <v>90.5</v>
      </c>
      <c r="AF417" s="10">
        <v>91</v>
      </c>
      <c r="AG417" s="10">
        <v>85.2</v>
      </c>
      <c r="AH417" s="10">
        <v>91</v>
      </c>
      <c r="AI417" s="10">
        <v>97.1</v>
      </c>
      <c r="AJ417" s="10">
        <v>95.1</v>
      </c>
      <c r="AK417" s="11">
        <v>53869.832119999999</v>
      </c>
      <c r="AL417" s="11">
        <v>32.169413499999997</v>
      </c>
      <c r="AM417" s="11">
        <v>8458.1348980000002</v>
      </c>
      <c r="AN417" s="11">
        <v>34</v>
      </c>
      <c r="AO417" s="11">
        <v>58.094000000000001</v>
      </c>
      <c r="AP417" s="19">
        <v>3.3818027599999998</v>
      </c>
    </row>
    <row r="418" spans="2:42">
      <c r="B418" t="s">
        <v>44</v>
      </c>
      <c r="C418" t="s">
        <v>45</v>
      </c>
      <c r="D418" t="s">
        <v>46</v>
      </c>
      <c r="E418" t="s">
        <v>35</v>
      </c>
      <c r="F418" t="s">
        <v>36</v>
      </c>
      <c r="G418" t="s">
        <v>37</v>
      </c>
      <c r="H418" t="s">
        <v>38</v>
      </c>
      <c r="I418" t="s">
        <v>39</v>
      </c>
      <c r="J418" t="s">
        <v>40</v>
      </c>
      <c r="K418">
        <v>2017</v>
      </c>
      <c r="L418">
        <v>2.15815678056465E-2</v>
      </c>
      <c r="M418" s="7">
        <v>52.888621329999999</v>
      </c>
      <c r="N418" s="7">
        <f t="shared" si="54"/>
        <v>3.6943895827920539E-3</v>
      </c>
      <c r="O418" s="8">
        <v>7.7677445550000002</v>
      </c>
      <c r="P418" s="8">
        <f t="shared" si="55"/>
        <v>5.4259449091564546E-4</v>
      </c>
      <c r="Q418" s="8">
        <v>2.9171297999999998E-2</v>
      </c>
      <c r="R418" s="8">
        <f t="shared" si="56"/>
        <v>2.0376810122405715E-6</v>
      </c>
      <c r="S418" s="8">
        <v>4.561764825</v>
      </c>
      <c r="T418" s="8">
        <f t="shared" si="57"/>
        <v>3.1864957007430499E-4</v>
      </c>
      <c r="U418" s="8">
        <v>1.1683170000000001E-3</v>
      </c>
      <c r="V418" s="8">
        <f t="shared" si="58"/>
        <v>8.1609579634676105E-8</v>
      </c>
      <c r="W418" s="8">
        <v>1.5157185E-2</v>
      </c>
      <c r="X418" s="8">
        <f t="shared" si="59"/>
        <v>5.7006133507845394E-12</v>
      </c>
      <c r="Y418" s="8">
        <v>4.0942700000000002E-4</v>
      </c>
      <c r="Z418" s="8">
        <f t="shared" si="60"/>
        <v>2.8599400129490998E-8</v>
      </c>
      <c r="AA418" s="8">
        <v>3.3642383999999997E-2</v>
      </c>
      <c r="AB418" s="8">
        <f t="shared" si="61"/>
        <v>2.3499964617037608E-6</v>
      </c>
      <c r="AC418" s="8">
        <v>2.768676685</v>
      </c>
      <c r="AD418" s="18">
        <f t="shared" si="62"/>
        <v>1.9339831604537E-4</v>
      </c>
      <c r="AE418" s="9">
        <v>17.600000000000001</v>
      </c>
      <c r="AF418" s="10">
        <v>47.1</v>
      </c>
      <c r="AG418" s="10">
        <v>19.5</v>
      </c>
      <c r="AH418" s="10">
        <v>38.1</v>
      </c>
      <c r="AI418" s="10">
        <v>30.5</v>
      </c>
      <c r="AJ418" s="10">
        <v>6.9</v>
      </c>
      <c r="AK418" s="11">
        <v>14315.92964</v>
      </c>
      <c r="AL418" s="11">
        <v>57.795601400000002</v>
      </c>
      <c r="AM418" s="11">
        <v>2120.553077</v>
      </c>
      <c r="AN418" s="11">
        <v>1.9</v>
      </c>
      <c r="AO418" s="11">
        <v>55.343000000000004</v>
      </c>
      <c r="AP418" s="19">
        <v>7.0166959799999997</v>
      </c>
    </row>
    <row r="419" spans="2:42">
      <c r="B419" t="s">
        <v>47</v>
      </c>
      <c r="C419" t="s">
        <v>48</v>
      </c>
      <c r="D419" t="s">
        <v>49</v>
      </c>
      <c r="E419" t="s">
        <v>35</v>
      </c>
      <c r="F419" t="s">
        <v>36</v>
      </c>
      <c r="G419" t="s">
        <v>37</v>
      </c>
      <c r="H419" t="s">
        <v>38</v>
      </c>
      <c r="I419" t="s">
        <v>39</v>
      </c>
      <c r="J419" t="s">
        <v>40</v>
      </c>
      <c r="K419">
        <v>2017</v>
      </c>
      <c r="L419">
        <v>1.25615099427031</v>
      </c>
      <c r="M419" s="7">
        <v>3.2475516000000003E-2</v>
      </c>
      <c r="N419" s="7">
        <f t="shared" si="54"/>
        <v>6.4620095457305985E-7</v>
      </c>
      <c r="O419" s="8">
        <v>6.897227709</v>
      </c>
      <c r="P419" s="8">
        <f t="shared" si="55"/>
        <v>1.3724170324079095E-4</v>
      </c>
      <c r="Q419" s="8">
        <v>0.31051383999999999</v>
      </c>
      <c r="R419" s="8">
        <f t="shared" si="56"/>
        <v>6.178634384628295E-6</v>
      </c>
      <c r="S419" s="8">
        <v>2.562866095</v>
      </c>
      <c r="T419" s="8">
        <f t="shared" si="57"/>
        <v>5.0996157136715862E-5</v>
      </c>
      <c r="U419" s="8">
        <v>4.6090818999999998E-2</v>
      </c>
      <c r="V419" s="8">
        <f t="shared" si="58"/>
        <v>9.1711956893476673E-7</v>
      </c>
      <c r="W419" s="8">
        <v>7.5642644999999994E-2</v>
      </c>
      <c r="X419" s="8">
        <f t="shared" si="59"/>
        <v>1.8248933778397219E-11</v>
      </c>
      <c r="Y419" s="8">
        <v>5.2194999999999998E-2</v>
      </c>
      <c r="Z419" s="8">
        <f t="shared" si="60"/>
        <v>1.0385811521498489E-6</v>
      </c>
      <c r="AA419" s="8">
        <v>2.9607419999999999E-2</v>
      </c>
      <c r="AB419" s="8">
        <f t="shared" si="61"/>
        <v>5.8913130330078516E-7</v>
      </c>
      <c r="AC419" s="8">
        <v>2.4839860950000001</v>
      </c>
      <c r="AD419" s="18">
        <f t="shared" si="62"/>
        <v>4.9426595276737317E-5</v>
      </c>
      <c r="AE419" s="9">
        <v>89.5</v>
      </c>
      <c r="AF419" s="10">
        <v>85.7</v>
      </c>
      <c r="AG419" s="10">
        <v>62.4</v>
      </c>
      <c r="AH419" s="10">
        <v>86.7</v>
      </c>
      <c r="AI419" s="10">
        <v>87.6</v>
      </c>
      <c r="AJ419" s="10">
        <v>93.1</v>
      </c>
      <c r="AK419" s="11">
        <v>50256.063179999997</v>
      </c>
      <c r="AL419" s="11">
        <v>43.747733500000002</v>
      </c>
      <c r="AM419" s="11">
        <v>7801.6498760000004</v>
      </c>
      <c r="AN419" s="11">
        <v>9.6999999999999993</v>
      </c>
      <c r="AO419" s="11">
        <v>97.960999999999999</v>
      </c>
      <c r="AP419" s="19">
        <v>-7.4442379000000001</v>
      </c>
    </row>
    <row r="420" spans="2:42">
      <c r="B420" t="s">
        <v>50</v>
      </c>
      <c r="C420" t="s">
        <v>51</v>
      </c>
      <c r="D420" t="s">
        <v>52</v>
      </c>
      <c r="E420" t="s">
        <v>35</v>
      </c>
      <c r="F420" t="s">
        <v>36</v>
      </c>
      <c r="G420" t="s">
        <v>37</v>
      </c>
      <c r="H420" t="s">
        <v>38</v>
      </c>
      <c r="I420" t="s">
        <v>39</v>
      </c>
      <c r="J420" t="s">
        <v>40</v>
      </c>
      <c r="K420">
        <v>2017</v>
      </c>
      <c r="L420">
        <v>0.66992574048666897</v>
      </c>
      <c r="M420" s="7">
        <v>239.1718583</v>
      </c>
      <c r="N420" s="7">
        <f t="shared" si="54"/>
        <v>1.0717037419121207E-2</v>
      </c>
      <c r="O420" s="8">
        <v>2.1301519020000002</v>
      </c>
      <c r="P420" s="8">
        <f t="shared" si="55"/>
        <v>9.5449848508143712E-5</v>
      </c>
      <c r="Q420" s="8">
        <v>0.35100017100000003</v>
      </c>
      <c r="R420" s="8">
        <f t="shared" si="56"/>
        <v>1.5727945559575656E-5</v>
      </c>
      <c r="S420" s="8">
        <v>1.1551439050000001</v>
      </c>
      <c r="T420" s="8">
        <f t="shared" si="57"/>
        <v>5.1760773789810011E-5</v>
      </c>
      <c r="U420" s="8">
        <v>1.4445074E-2</v>
      </c>
      <c r="V420" s="8">
        <f t="shared" si="58"/>
        <v>6.4726845240209792E-7</v>
      </c>
      <c r="W420" s="8">
        <v>9.7362639999999997E-3</v>
      </c>
      <c r="X420" s="8">
        <f t="shared" si="59"/>
        <v>2.9003413168738831E-11</v>
      </c>
      <c r="Y420" s="8">
        <v>7.373246E-3</v>
      </c>
      <c r="Z420" s="8">
        <f t="shared" si="60"/>
        <v>3.3038733672115205E-7</v>
      </c>
      <c r="AA420" s="8">
        <v>5.0555159000000002E-2</v>
      </c>
      <c r="AB420" s="8">
        <f t="shared" si="61"/>
        <v>2.2653230801636595E-6</v>
      </c>
      <c r="AC420" s="8">
        <v>6.2482461630000001</v>
      </c>
      <c r="AD420" s="18">
        <f t="shared" si="62"/>
        <v>2.7997728666203834E-4</v>
      </c>
      <c r="AE420" s="9">
        <v>49.5</v>
      </c>
      <c r="AF420" s="10">
        <v>57.1</v>
      </c>
      <c r="AG420" s="10">
        <v>59</v>
      </c>
      <c r="AH420" s="10">
        <v>73.3</v>
      </c>
      <c r="AI420" s="10">
        <v>51</v>
      </c>
      <c r="AJ420" s="10">
        <v>60.6</v>
      </c>
      <c r="AK420" s="11">
        <v>22316.975200000001</v>
      </c>
      <c r="AL420" s="11">
        <v>46.3294031</v>
      </c>
      <c r="AM420" s="11">
        <v>5387.9874209999998</v>
      </c>
      <c r="AN420" s="11">
        <v>17.100000000000001</v>
      </c>
      <c r="AO420" s="11">
        <v>74.668999999999997</v>
      </c>
      <c r="AP420" s="19">
        <v>3.3925465799999999</v>
      </c>
    </row>
    <row r="421" spans="2:42">
      <c r="B421" t="s">
        <v>53</v>
      </c>
      <c r="C421" t="s">
        <v>54</v>
      </c>
      <c r="D421" t="s">
        <v>55</v>
      </c>
      <c r="E421" t="s">
        <v>35</v>
      </c>
      <c r="F421" t="s">
        <v>36</v>
      </c>
      <c r="G421" t="s">
        <v>37</v>
      </c>
      <c r="H421" t="s">
        <v>38</v>
      </c>
      <c r="I421" t="s">
        <v>39</v>
      </c>
      <c r="J421" t="s">
        <v>40</v>
      </c>
      <c r="K421">
        <v>2017</v>
      </c>
      <c r="L421">
        <v>0.69306343286894001</v>
      </c>
      <c r="M421" s="7">
        <v>12.43074448</v>
      </c>
      <c r="N421" s="7">
        <f t="shared" si="54"/>
        <v>2.5727269490436822E-4</v>
      </c>
      <c r="O421" s="8">
        <v>30.952250490000001</v>
      </c>
      <c r="P421" s="8">
        <f t="shared" si="55"/>
        <v>6.4060273378874503E-4</v>
      </c>
      <c r="Q421" s="8">
        <v>1.0878170890000001</v>
      </c>
      <c r="R421" s="8">
        <f t="shared" si="56"/>
        <v>2.2513988160591245E-5</v>
      </c>
      <c r="S421" s="8">
        <v>76.117841909999996</v>
      </c>
      <c r="T421" s="8">
        <f t="shared" si="57"/>
        <v>1.5753716400492177E-3</v>
      </c>
      <c r="U421" s="8">
        <v>0.28599462599999997</v>
      </c>
      <c r="V421" s="8">
        <f t="shared" si="58"/>
        <v>5.9190829863463565E-6</v>
      </c>
      <c r="W421" s="8">
        <v>0.15683317899999999</v>
      </c>
      <c r="X421" s="8">
        <f t="shared" si="59"/>
        <v>1.2250420187704823E-10</v>
      </c>
      <c r="Y421" s="8">
        <v>0.154272784</v>
      </c>
      <c r="Z421" s="8">
        <f t="shared" si="60"/>
        <v>3.1929040898505781E-6</v>
      </c>
      <c r="AA421" s="8">
        <v>0.61814698000000001</v>
      </c>
      <c r="AB421" s="8">
        <f t="shared" si="61"/>
        <v>1.2793468617061992E-5</v>
      </c>
      <c r="AC421" s="8">
        <v>18.92525565</v>
      </c>
      <c r="AD421" s="18">
        <f t="shared" si="62"/>
        <v>3.9168623654547367E-4</v>
      </c>
      <c r="AE421" s="9">
        <v>95.7</v>
      </c>
      <c r="AF421" s="10">
        <v>96.7</v>
      </c>
      <c r="AG421" s="10">
        <v>87.1</v>
      </c>
      <c r="AH421" s="10">
        <v>97.6</v>
      </c>
      <c r="AI421" s="10">
        <v>96.2</v>
      </c>
      <c r="AJ421" s="10">
        <v>96.1</v>
      </c>
      <c r="AK421" s="11">
        <v>48317.387450000002</v>
      </c>
      <c r="AL421" s="11">
        <v>6.4544107000000004</v>
      </c>
      <c r="AM421" s="11">
        <v>15464.05364</v>
      </c>
      <c r="AN421" s="11">
        <v>22.8</v>
      </c>
      <c r="AO421" s="11">
        <v>81.349999999999994</v>
      </c>
      <c r="AP421" s="19">
        <v>1.5375207200000001</v>
      </c>
    </row>
    <row r="422" spans="2:42">
      <c r="B422" t="s">
        <v>56</v>
      </c>
      <c r="C422" t="s">
        <v>57</v>
      </c>
      <c r="D422" t="s">
        <v>58</v>
      </c>
      <c r="E422" t="s">
        <v>35</v>
      </c>
      <c r="F422" t="s">
        <v>36</v>
      </c>
      <c r="G422" t="s">
        <v>37</v>
      </c>
      <c r="H422" t="s">
        <v>38</v>
      </c>
      <c r="I422" t="s">
        <v>39</v>
      </c>
      <c r="J422" t="s">
        <v>40</v>
      </c>
      <c r="K422">
        <v>2017</v>
      </c>
      <c r="L422">
        <v>8.8283484952269106E-2</v>
      </c>
      <c r="M422" s="7">
        <v>770.47668020000003</v>
      </c>
      <c r="N422" s="7">
        <f t="shared" si="54"/>
        <v>3.1713092560661772E-2</v>
      </c>
      <c r="O422" s="8">
        <v>6.6324995739999997</v>
      </c>
      <c r="P422" s="8">
        <f t="shared" si="55"/>
        <v>2.7299602739983323E-4</v>
      </c>
      <c r="Q422" s="8">
        <v>0.64450605900000002</v>
      </c>
      <c r="R422" s="8">
        <f t="shared" si="56"/>
        <v>2.6528097254895134E-5</v>
      </c>
      <c r="S422" s="8">
        <v>1.796826112</v>
      </c>
      <c r="T422" s="8">
        <f t="shared" si="57"/>
        <v>7.395799804152205E-5</v>
      </c>
      <c r="U422" s="8">
        <v>9.0214178000000006E-2</v>
      </c>
      <c r="V422" s="8">
        <f t="shared" si="58"/>
        <v>3.713247461889914E-6</v>
      </c>
      <c r="W422" s="8">
        <v>0.17667275599999999</v>
      </c>
      <c r="X422" s="8">
        <f t="shared" si="59"/>
        <v>1.528385783577376E-10</v>
      </c>
      <c r="Y422" s="8">
        <v>2.7303845E-2</v>
      </c>
      <c r="Z422" s="8">
        <f t="shared" si="60"/>
        <v>1.1238359135310817E-6</v>
      </c>
      <c r="AA422" s="8">
        <v>6.1611565E-2</v>
      </c>
      <c r="AB422" s="8">
        <f t="shared" si="61"/>
        <v>2.5359537982967096E-6</v>
      </c>
      <c r="AC422" s="8">
        <v>11.30994798</v>
      </c>
      <c r="AD422" s="18">
        <f t="shared" si="62"/>
        <v>4.6552145751238745E-4</v>
      </c>
      <c r="AE422" s="9">
        <v>81.400000000000006</v>
      </c>
      <c r="AF422" s="10">
        <v>76.7</v>
      </c>
      <c r="AG422" s="10">
        <v>61.9</v>
      </c>
      <c r="AH422" s="10">
        <v>89</v>
      </c>
      <c r="AI422" s="10">
        <v>80.5</v>
      </c>
      <c r="AJ422" s="10">
        <v>79.8</v>
      </c>
      <c r="AK422" s="11">
        <v>24295.223770000001</v>
      </c>
      <c r="AL422" s="11">
        <v>16.547703500000001</v>
      </c>
      <c r="AM422" s="11">
        <v>4053.4799859999998</v>
      </c>
      <c r="AN422" s="11">
        <v>24.1</v>
      </c>
      <c r="AO422" s="11">
        <v>87.49</v>
      </c>
      <c r="AP422" s="19">
        <v>1.8964703000000001</v>
      </c>
    </row>
    <row r="423" spans="2:42">
      <c r="B423" t="s">
        <v>59</v>
      </c>
      <c r="C423" t="s">
        <v>60</v>
      </c>
      <c r="D423" t="s">
        <v>61</v>
      </c>
      <c r="E423" t="s">
        <v>35</v>
      </c>
      <c r="F423" t="s">
        <v>36</v>
      </c>
      <c r="G423" t="s">
        <v>37</v>
      </c>
      <c r="H423" t="s">
        <v>38</v>
      </c>
      <c r="I423" t="s">
        <v>39</v>
      </c>
      <c r="J423" t="s">
        <v>40</v>
      </c>
      <c r="K423">
        <v>2017</v>
      </c>
      <c r="L423">
        <v>0.121306280297028</v>
      </c>
      <c r="M423" s="7">
        <v>0.30913098900000002</v>
      </c>
      <c r="N423" s="7">
        <f t="shared" si="54"/>
        <v>1.1084281281697394E-5</v>
      </c>
      <c r="O423" s="8">
        <v>1.7099937300000001</v>
      </c>
      <c r="P423" s="8">
        <f t="shared" si="55"/>
        <v>6.1313980699809122E-5</v>
      </c>
      <c r="Q423" s="8">
        <v>0.39316167499999999</v>
      </c>
      <c r="R423" s="8">
        <f t="shared" si="56"/>
        <v>1.4097307452030615E-5</v>
      </c>
      <c r="S423" s="8">
        <v>0.334827386</v>
      </c>
      <c r="T423" s="8">
        <f t="shared" si="57"/>
        <v>1.2005657987395978E-5</v>
      </c>
      <c r="U423" s="8">
        <v>3.7949059999999998E-3</v>
      </c>
      <c r="V423" s="8">
        <f t="shared" si="58"/>
        <v>1.3607113825007406E-7</v>
      </c>
      <c r="W423" s="8">
        <v>7.300005E-3</v>
      </c>
      <c r="X423" s="8">
        <f t="shared" si="59"/>
        <v>4.8790021846840928E-12</v>
      </c>
      <c r="Y423" s="8">
        <v>1.5410090000000001E-3</v>
      </c>
      <c r="Z423" s="8">
        <f t="shared" si="60"/>
        <v>5.5254820194125601E-8</v>
      </c>
      <c r="AA423" s="8">
        <v>1.3831335E-2</v>
      </c>
      <c r="AB423" s="8">
        <f t="shared" si="61"/>
        <v>4.9593995133689429E-7</v>
      </c>
      <c r="AC423" s="8">
        <v>1.5661733630000001</v>
      </c>
      <c r="AD423" s="18">
        <f t="shared" si="62"/>
        <v>5.6157120150105554E-5</v>
      </c>
      <c r="AE423" s="9">
        <v>56.7</v>
      </c>
      <c r="AF423" s="10">
        <v>71</v>
      </c>
      <c r="AG423" s="10">
        <v>70.5</v>
      </c>
      <c r="AH423" s="10">
        <v>64.8</v>
      </c>
      <c r="AI423" s="10">
        <v>61.9</v>
      </c>
      <c r="AJ423" s="10">
        <v>61.6</v>
      </c>
      <c r="AK423" s="11">
        <v>27889.13247</v>
      </c>
      <c r="AL423" s="11">
        <v>26.749338900000001</v>
      </c>
      <c r="AM423" s="11">
        <v>4249.0152559999997</v>
      </c>
      <c r="AN423" s="11">
        <v>29.8</v>
      </c>
      <c r="AO423" s="11">
        <v>56.667000000000002</v>
      </c>
      <c r="AP423" s="19">
        <v>3.2399960600000002</v>
      </c>
    </row>
    <row r="424" spans="2:42">
      <c r="B424" t="s">
        <v>62</v>
      </c>
      <c r="C424" t="s">
        <v>63</v>
      </c>
      <c r="D424" t="s">
        <v>64</v>
      </c>
      <c r="E424" t="s">
        <v>35</v>
      </c>
      <c r="F424" t="s">
        <v>36</v>
      </c>
      <c r="G424" t="s">
        <v>37</v>
      </c>
      <c r="H424" t="s">
        <v>38</v>
      </c>
      <c r="I424" t="s">
        <v>39</v>
      </c>
      <c r="J424" t="s">
        <v>40</v>
      </c>
      <c r="K424">
        <v>2017</v>
      </c>
      <c r="L424">
        <v>0.27463028638604298</v>
      </c>
      <c r="M424" s="7">
        <v>8.9971678290000003</v>
      </c>
      <c r="N424" s="7">
        <f t="shared" si="54"/>
        <v>2.3421275819803352E-4</v>
      </c>
      <c r="O424" s="8">
        <v>0.39420266100000001</v>
      </c>
      <c r="P424" s="8">
        <f t="shared" si="55"/>
        <v>1.0261817304799147E-5</v>
      </c>
      <c r="Q424" s="8">
        <v>9.5316729999999992E-3</v>
      </c>
      <c r="R424" s="8">
        <f t="shared" si="56"/>
        <v>2.4812690682239407E-7</v>
      </c>
      <c r="S424" s="8">
        <v>6.9146229999999999E-3</v>
      </c>
      <c r="T424" s="8">
        <f t="shared" si="57"/>
        <v>1.8000030181826244E-7</v>
      </c>
      <c r="U424" s="8">
        <v>2.0553199999999998E-3</v>
      </c>
      <c r="V424" s="8">
        <f t="shared" si="58"/>
        <v>5.3503744214704275E-8</v>
      </c>
      <c r="W424" s="8">
        <v>2.2889210000000002E-3</v>
      </c>
      <c r="X424" s="8">
        <f t="shared" si="59"/>
        <v>1.392800461724939E-12</v>
      </c>
      <c r="Y424" s="8"/>
      <c r="Z424" s="8">
        <f t="shared" si="60"/>
        <v>0</v>
      </c>
      <c r="AA424" s="8">
        <v>4.1049750000000003E-3</v>
      </c>
      <c r="AB424" s="8">
        <f t="shared" si="61"/>
        <v>1.0686001810314487E-7</v>
      </c>
      <c r="AC424" s="8">
        <v>0.61068071300000004</v>
      </c>
      <c r="AD424" s="18">
        <f t="shared" si="62"/>
        <v>1.5897137509100888E-5</v>
      </c>
      <c r="AE424" s="9">
        <v>76.2</v>
      </c>
      <c r="AF424" s="10">
        <v>78.599999999999994</v>
      </c>
      <c r="AG424" s="10">
        <v>64.8</v>
      </c>
      <c r="AH424" s="10">
        <v>81</v>
      </c>
      <c r="AI424" s="10">
        <v>78.099999999999994</v>
      </c>
      <c r="AJ424" s="10">
        <v>83.3</v>
      </c>
      <c r="AK424" s="11">
        <v>38414.507810000003</v>
      </c>
      <c r="AL424" s="11">
        <v>13.1406926</v>
      </c>
      <c r="AM424" s="11">
        <v>3807.7774009999998</v>
      </c>
      <c r="AN424" s="11">
        <v>10.9</v>
      </c>
      <c r="AO424" s="11">
        <v>66.835999999999999</v>
      </c>
      <c r="AP424" s="19">
        <v>184.054283</v>
      </c>
    </row>
    <row r="425" spans="2:42">
      <c r="B425" t="s">
        <v>65</v>
      </c>
      <c r="C425" t="s">
        <v>66</v>
      </c>
      <c r="D425" t="s">
        <v>67</v>
      </c>
      <c r="E425" t="s">
        <v>35</v>
      </c>
      <c r="F425" t="s">
        <v>36</v>
      </c>
      <c r="G425" t="s">
        <v>37</v>
      </c>
      <c r="H425" t="s">
        <v>38</v>
      </c>
      <c r="I425" t="s">
        <v>39</v>
      </c>
      <c r="J425" t="s">
        <v>40</v>
      </c>
      <c r="K425">
        <v>2017</v>
      </c>
      <c r="L425">
        <v>0.80168382561987594</v>
      </c>
      <c r="M425" s="7">
        <v>8.9971678290000003</v>
      </c>
      <c r="N425" s="7">
        <f t="shared" si="54"/>
        <v>2.2866773854810936E-4</v>
      </c>
      <c r="O425" s="8">
        <v>5.2260313930000004</v>
      </c>
      <c r="P425" s="8">
        <f t="shared" si="55"/>
        <v>1.3282232841838165E-4</v>
      </c>
      <c r="Q425" s="8">
        <v>0.97757615499999995</v>
      </c>
      <c r="R425" s="8">
        <f t="shared" si="56"/>
        <v>2.4845610626700025E-5</v>
      </c>
      <c r="S425" s="8">
        <v>3.088501049</v>
      </c>
      <c r="T425" s="8">
        <f t="shared" si="57"/>
        <v>7.8495873790629207E-5</v>
      </c>
      <c r="U425" s="8">
        <v>3.4059269000000003E-2</v>
      </c>
      <c r="V425" s="8">
        <f t="shared" si="58"/>
        <v>8.6563418254001382E-7</v>
      </c>
      <c r="W425" s="8">
        <v>4.8741184E-2</v>
      </c>
      <c r="X425" s="8">
        <f t="shared" si="59"/>
        <v>2.2000546693521751E-11</v>
      </c>
      <c r="Y425" s="8">
        <v>1.5896446000000002E-2</v>
      </c>
      <c r="Z425" s="8">
        <f t="shared" si="60"/>
        <v>4.0401651129099318E-7</v>
      </c>
      <c r="AA425" s="8">
        <v>3.8229817999999999E-2</v>
      </c>
      <c r="AB425" s="8">
        <f t="shared" si="61"/>
        <v>9.7163087243838096E-7</v>
      </c>
      <c r="AC425" s="8">
        <v>4.8380907249999998</v>
      </c>
      <c r="AD425" s="18">
        <f t="shared" si="62"/>
        <v>1.2296261290251995E-4</v>
      </c>
      <c r="AE425" s="9">
        <v>69</v>
      </c>
      <c r="AF425" s="10">
        <v>81.400000000000006</v>
      </c>
      <c r="AG425" s="10">
        <v>83.3</v>
      </c>
      <c r="AH425" s="10">
        <v>86.2</v>
      </c>
      <c r="AI425" s="10">
        <v>82.9</v>
      </c>
      <c r="AJ425" s="10">
        <v>75.400000000000006</v>
      </c>
      <c r="AK425" s="11">
        <v>39346.030559999999</v>
      </c>
      <c r="AL425" s="11">
        <v>45.602901199999998</v>
      </c>
      <c r="AM425" s="11">
        <v>6573.732368</v>
      </c>
      <c r="AN425" s="11">
        <v>14.5</v>
      </c>
      <c r="AO425" s="11">
        <v>73.674999999999997</v>
      </c>
      <c r="AP425" s="19">
        <v>5.0706624099999997</v>
      </c>
    </row>
    <row r="426" spans="2:42">
      <c r="B426" t="s">
        <v>68</v>
      </c>
      <c r="C426" t="s">
        <v>69</v>
      </c>
      <c r="D426" t="s">
        <v>70</v>
      </c>
      <c r="E426" t="s">
        <v>35</v>
      </c>
      <c r="F426" t="s">
        <v>36</v>
      </c>
      <c r="G426" t="s">
        <v>37</v>
      </c>
      <c r="H426" t="s">
        <v>38</v>
      </c>
      <c r="I426" t="s">
        <v>39</v>
      </c>
      <c r="J426" t="s">
        <v>40</v>
      </c>
      <c r="K426">
        <v>2017</v>
      </c>
      <c r="L426">
        <v>0.40443054136874401</v>
      </c>
      <c r="M426" s="7">
        <v>770.47668020000003</v>
      </c>
      <c r="N426" s="7">
        <f t="shared" si="54"/>
        <v>1.3939830105435563E-2</v>
      </c>
      <c r="O426" s="8">
        <v>6.7827384860000004</v>
      </c>
      <c r="P426" s="8">
        <f t="shared" si="55"/>
        <v>1.2271652676093444E-4</v>
      </c>
      <c r="Q426" s="8">
        <v>0.38877760300000003</v>
      </c>
      <c r="R426" s="8">
        <f t="shared" si="56"/>
        <v>7.0339490783960989E-6</v>
      </c>
      <c r="S426" s="8">
        <v>0.459568582</v>
      </c>
      <c r="T426" s="8">
        <f t="shared" si="57"/>
        <v>8.3147330990121415E-6</v>
      </c>
      <c r="U426" s="8">
        <v>9.9553039999999999E-3</v>
      </c>
      <c r="V426" s="8">
        <f t="shared" si="58"/>
        <v>1.8011608913580599E-7</v>
      </c>
      <c r="W426" s="8">
        <v>0.10318630400000001</v>
      </c>
      <c r="X426" s="8">
        <f t="shared" si="59"/>
        <v>3.2587458469954914E-12</v>
      </c>
      <c r="Y426" s="14">
        <v>5.01984E-7</v>
      </c>
      <c r="Z426" s="8">
        <f t="shared" si="60"/>
        <v>9.0821329904891334E-12</v>
      </c>
      <c r="AA426" s="8">
        <v>1.6743902000000001E-2</v>
      </c>
      <c r="AB426" s="8">
        <f t="shared" si="61"/>
        <v>3.0293862900753207E-7</v>
      </c>
      <c r="AC426" s="8">
        <v>2.3757464819999998</v>
      </c>
      <c r="AD426" s="18">
        <f t="shared" si="62"/>
        <v>4.298313392699906E-5</v>
      </c>
      <c r="AE426" s="9">
        <v>99</v>
      </c>
      <c r="AF426" s="10">
        <v>95.7</v>
      </c>
      <c r="AG426" s="10">
        <v>75.2</v>
      </c>
      <c r="AH426" s="10">
        <v>92.4</v>
      </c>
      <c r="AI426" s="10">
        <v>97.6</v>
      </c>
      <c r="AJ426" s="10">
        <v>97</v>
      </c>
      <c r="AK426" s="11">
        <v>55271.597600000001</v>
      </c>
      <c r="AL426" s="11">
        <v>65.782499999999999</v>
      </c>
      <c r="AM426" s="11">
        <v>5885.0160800000003</v>
      </c>
      <c r="AN426" s="11">
        <v>35</v>
      </c>
      <c r="AO426" s="11">
        <v>87.757000000000005</v>
      </c>
      <c r="AP426" s="19">
        <v>1.0878049000000001</v>
      </c>
    </row>
    <row r="427" spans="2:42">
      <c r="B427" t="s">
        <v>71</v>
      </c>
      <c r="C427" t="s">
        <v>72</v>
      </c>
      <c r="D427" t="s">
        <v>73</v>
      </c>
      <c r="E427" t="s">
        <v>35</v>
      </c>
      <c r="F427" t="s">
        <v>36</v>
      </c>
      <c r="G427" t="s">
        <v>37</v>
      </c>
      <c r="H427" t="s">
        <v>38</v>
      </c>
      <c r="I427" t="s">
        <v>39</v>
      </c>
      <c r="J427" t="s">
        <v>40</v>
      </c>
      <c r="K427">
        <v>2017</v>
      </c>
      <c r="L427">
        <v>0.147722962396413</v>
      </c>
      <c r="M427" s="7">
        <v>347.60538780000002</v>
      </c>
      <c r="N427" s="7">
        <f t="shared" si="54"/>
        <v>3.8772660358694207E-2</v>
      </c>
      <c r="O427" s="8">
        <v>1.7063636179999999</v>
      </c>
      <c r="P427" s="8">
        <f t="shared" si="55"/>
        <v>1.9033150615954469E-4</v>
      </c>
      <c r="Q427" s="8">
        <v>7.3632402999999999E-2</v>
      </c>
      <c r="R427" s="8">
        <f t="shared" si="56"/>
        <v>8.2131182459004919E-6</v>
      </c>
      <c r="S427" s="14">
        <v>3.7376699999999997E-5</v>
      </c>
      <c r="T427" s="8">
        <f t="shared" si="57"/>
        <v>4.1690783436953552E-9</v>
      </c>
      <c r="U427" s="8">
        <v>1.2754159999999999E-3</v>
      </c>
      <c r="V427" s="8">
        <f t="shared" si="58"/>
        <v>1.4226267232801598E-7</v>
      </c>
      <c r="W427" s="8">
        <v>1.2810423E-2</v>
      </c>
      <c r="X427" s="8">
        <f t="shared" si="59"/>
        <v>1.5868287631571538E-11</v>
      </c>
      <c r="Y427" s="8"/>
      <c r="Z427" s="8">
        <f t="shared" si="60"/>
        <v>0</v>
      </c>
      <c r="AA427" s="8">
        <v>1.6474335999999999E-2</v>
      </c>
      <c r="AB427" s="8">
        <f t="shared" si="61"/>
        <v>1.8375832388723662E-6</v>
      </c>
      <c r="AC427" s="8">
        <v>1.3128420890000001</v>
      </c>
      <c r="AD427" s="18">
        <f t="shared" si="62"/>
        <v>1.4643725962810175E-4</v>
      </c>
      <c r="AE427" s="9">
        <v>37.1</v>
      </c>
      <c r="AF427" s="10">
        <v>37.6</v>
      </c>
      <c r="AG427" s="10">
        <v>35.700000000000003</v>
      </c>
      <c r="AH427" s="10">
        <v>45.7</v>
      </c>
      <c r="AI427" s="10">
        <v>20.5</v>
      </c>
      <c r="AJ427" s="10">
        <v>52.2</v>
      </c>
      <c r="AK427" s="11">
        <v>8965.2189089999993</v>
      </c>
      <c r="AL427" s="11">
        <v>58.166023199999998</v>
      </c>
      <c r="AM427" s="11">
        <v>1016.812818</v>
      </c>
      <c r="AN427" s="11">
        <v>25</v>
      </c>
      <c r="AO427" s="11">
        <v>71.275000000000006</v>
      </c>
      <c r="AP427" s="19">
        <v>2.0168845200000001</v>
      </c>
    </row>
    <row r="428" spans="2:42">
      <c r="B428" t="s">
        <v>74</v>
      </c>
      <c r="C428" t="s">
        <v>75</v>
      </c>
      <c r="D428" t="s">
        <v>76</v>
      </c>
      <c r="E428" t="s">
        <v>35</v>
      </c>
      <c r="F428" t="s">
        <v>36</v>
      </c>
      <c r="G428" t="s">
        <v>37</v>
      </c>
      <c r="H428" t="s">
        <v>38</v>
      </c>
      <c r="I428" t="s">
        <v>39</v>
      </c>
      <c r="J428" t="s">
        <v>40</v>
      </c>
      <c r="K428">
        <v>2017</v>
      </c>
      <c r="L428">
        <v>0.73551532015895205</v>
      </c>
      <c r="M428" s="7">
        <v>6.0939376359999997</v>
      </c>
      <c r="N428" s="7">
        <f t="shared" si="54"/>
        <v>1.766018395685588E-4</v>
      </c>
      <c r="O428" s="8">
        <v>0.87973242600000001</v>
      </c>
      <c r="P428" s="8">
        <f t="shared" si="55"/>
        <v>2.5494577404584229E-5</v>
      </c>
      <c r="Q428" s="8">
        <v>0.144997599</v>
      </c>
      <c r="R428" s="8">
        <f t="shared" si="56"/>
        <v>4.202019161658553E-6</v>
      </c>
      <c r="S428" s="8">
        <v>5.7631254E-2</v>
      </c>
      <c r="T428" s="8">
        <f t="shared" si="57"/>
        <v>1.6701492665296555E-6</v>
      </c>
      <c r="U428" s="8">
        <v>2.0658790000000001E-3</v>
      </c>
      <c r="V428" s="8">
        <f t="shared" si="58"/>
        <v>5.9869013028746842E-8</v>
      </c>
      <c r="W428" s="8">
        <v>3.0244581999999999E-2</v>
      </c>
      <c r="X428" s="8">
        <f t="shared" si="59"/>
        <v>1.7349993494470193E-12</v>
      </c>
      <c r="Y428" s="8"/>
      <c r="Z428" s="8">
        <f t="shared" si="60"/>
        <v>0</v>
      </c>
      <c r="AA428" s="8">
        <v>3.8289069999999999E-3</v>
      </c>
      <c r="AB428" s="8">
        <f t="shared" si="61"/>
        <v>1.1096142759031867E-7</v>
      </c>
      <c r="AC428" s="8">
        <v>1.727697555</v>
      </c>
      <c r="AD428" s="18">
        <f t="shared" si="62"/>
        <v>5.0068541008466158E-5</v>
      </c>
      <c r="AE428" s="9">
        <v>86.7</v>
      </c>
      <c r="AF428" s="10">
        <v>82.9</v>
      </c>
      <c r="AG428" s="10">
        <v>68.599999999999994</v>
      </c>
      <c r="AH428" s="10">
        <v>93.3</v>
      </c>
      <c r="AI428" s="10">
        <v>85.7</v>
      </c>
      <c r="AJ428" s="10">
        <v>89.7</v>
      </c>
      <c r="AK428" s="11">
        <v>34506.648690000002</v>
      </c>
      <c r="AL428" s="11">
        <v>22.970760200000001</v>
      </c>
      <c r="AM428" s="11">
        <v>7322.8458819999996</v>
      </c>
      <c r="AN428" s="11">
        <v>27.5</v>
      </c>
      <c r="AO428" s="11">
        <v>68.716999999999999</v>
      </c>
      <c r="AP428" s="19">
        <v>6.31892721</v>
      </c>
    </row>
    <row r="429" spans="2:42">
      <c r="B429" t="s">
        <v>77</v>
      </c>
      <c r="C429" t="s">
        <v>78</v>
      </c>
      <c r="D429" t="s">
        <v>79</v>
      </c>
      <c r="E429" t="s">
        <v>35</v>
      </c>
      <c r="F429" t="s">
        <v>36</v>
      </c>
      <c r="G429" t="s">
        <v>37</v>
      </c>
      <c r="H429" t="s">
        <v>38</v>
      </c>
      <c r="I429" t="s">
        <v>39</v>
      </c>
      <c r="J429" t="s">
        <v>40</v>
      </c>
      <c r="K429">
        <v>2017</v>
      </c>
      <c r="L429">
        <v>0.20017587195814401</v>
      </c>
      <c r="M429" s="7">
        <v>11.774486489999999</v>
      </c>
      <c r="N429" s="7">
        <f t="shared" si="54"/>
        <v>2.4927539257714118E-4</v>
      </c>
      <c r="O429" s="8">
        <v>2.5779217650000001</v>
      </c>
      <c r="P429" s="8">
        <f t="shared" si="55"/>
        <v>5.4576686681775773E-5</v>
      </c>
      <c r="Q429" s="8">
        <v>0.56287166399999999</v>
      </c>
      <c r="R429" s="8">
        <f t="shared" si="56"/>
        <v>1.1916447917564234E-5</v>
      </c>
      <c r="S429" s="8">
        <v>0.129531228</v>
      </c>
      <c r="T429" s="8">
        <f t="shared" si="57"/>
        <v>2.742280755778351E-6</v>
      </c>
      <c r="U429" s="8">
        <v>0.15747313199999999</v>
      </c>
      <c r="V429" s="8">
        <f t="shared" si="58"/>
        <v>3.3338334400392159E-6</v>
      </c>
      <c r="W429" s="8">
        <v>0.14344794699999999</v>
      </c>
      <c r="X429" s="8">
        <f t="shared" si="59"/>
        <v>7.0579947606069799E-11</v>
      </c>
      <c r="Y429" s="8">
        <v>3.7692272999999998E-2</v>
      </c>
      <c r="Z429" s="8">
        <f t="shared" si="60"/>
        <v>7.9797587412236933E-7</v>
      </c>
      <c r="AA429" s="8">
        <v>2.2694371000000001E-2</v>
      </c>
      <c r="AB429" s="8">
        <f t="shared" si="61"/>
        <v>4.8045817073388891E-7</v>
      </c>
      <c r="AC429" s="8">
        <v>3.714281191</v>
      </c>
      <c r="AD429" s="18">
        <f t="shared" si="62"/>
        <v>7.8634333889189971E-5</v>
      </c>
      <c r="AE429" s="9">
        <v>98.6</v>
      </c>
      <c r="AF429" s="10">
        <v>99</v>
      </c>
      <c r="AG429" s="10">
        <v>86.7</v>
      </c>
      <c r="AH429" s="10">
        <v>96.7</v>
      </c>
      <c r="AI429" s="10">
        <v>100</v>
      </c>
      <c r="AJ429" s="10">
        <v>98.5</v>
      </c>
      <c r="AK429" s="11">
        <v>47234.852859999999</v>
      </c>
      <c r="AL429" s="11">
        <v>7.4690708099999998</v>
      </c>
      <c r="AM429" s="11">
        <v>15464.177680000001</v>
      </c>
      <c r="AN429" s="11">
        <v>44.4</v>
      </c>
      <c r="AO429" s="11">
        <v>85.325000000000003</v>
      </c>
      <c r="AP429" s="19">
        <v>6.6613655500000002</v>
      </c>
    </row>
    <row r="430" spans="2:42">
      <c r="B430" t="s">
        <v>80</v>
      </c>
      <c r="C430" t="s">
        <v>81</v>
      </c>
      <c r="D430" t="s">
        <v>82</v>
      </c>
      <c r="E430" t="s">
        <v>35</v>
      </c>
      <c r="F430" t="s">
        <v>36</v>
      </c>
      <c r="G430" t="s">
        <v>37</v>
      </c>
      <c r="H430" t="s">
        <v>38</v>
      </c>
      <c r="I430" t="s">
        <v>39</v>
      </c>
      <c r="J430" t="s">
        <v>40</v>
      </c>
      <c r="K430">
        <v>2017</v>
      </c>
      <c r="L430">
        <v>0.934903680152113</v>
      </c>
      <c r="M430" s="7">
        <v>0.16428371</v>
      </c>
      <c r="N430" s="7">
        <f t="shared" si="54"/>
        <v>3.6943302308161333E-6</v>
      </c>
      <c r="O430" s="8">
        <v>47.655416440000003</v>
      </c>
      <c r="P430" s="8">
        <f t="shared" si="55"/>
        <v>1.0716512648541001E-3</v>
      </c>
      <c r="Q430" s="8">
        <v>2.6804387009999999</v>
      </c>
      <c r="R430" s="8">
        <f t="shared" si="56"/>
        <v>6.0276370219261704E-5</v>
      </c>
      <c r="S430" s="8">
        <v>3.2462046039999999</v>
      </c>
      <c r="T430" s="8">
        <f t="shared" si="57"/>
        <v>7.2999032003670435E-5</v>
      </c>
      <c r="U430" s="8">
        <v>9.8866180999999997E-2</v>
      </c>
      <c r="V430" s="8">
        <f t="shared" si="58"/>
        <v>2.2232534270965733E-6</v>
      </c>
      <c r="W430" s="8">
        <v>0.20094200600000001</v>
      </c>
      <c r="X430" s="8">
        <f t="shared" si="59"/>
        <v>4.999541553139044E-11</v>
      </c>
      <c r="Y430" s="8">
        <v>6.5036610999999994E-2</v>
      </c>
      <c r="Z430" s="8">
        <f t="shared" si="60"/>
        <v>1.4625109094938812E-6</v>
      </c>
      <c r="AA430" s="8">
        <v>0.157688256</v>
      </c>
      <c r="AB430" s="8">
        <f t="shared" si="61"/>
        <v>3.546014946859147E-6</v>
      </c>
      <c r="AC430" s="8">
        <v>19.510255130000001</v>
      </c>
      <c r="AD430" s="18">
        <f t="shared" si="62"/>
        <v>4.3873689812395E-4</v>
      </c>
      <c r="AE430" s="9">
        <v>87.1</v>
      </c>
      <c r="AF430" s="10">
        <v>87.1</v>
      </c>
      <c r="AG430" s="10">
        <v>56.2</v>
      </c>
      <c r="AH430" s="10">
        <v>83.3</v>
      </c>
      <c r="AI430" s="10">
        <v>88.6</v>
      </c>
      <c r="AJ430" s="10">
        <v>85.7</v>
      </c>
      <c r="AK430" s="11">
        <v>44469.14589</v>
      </c>
      <c r="AL430" s="11">
        <v>52.410066899999997</v>
      </c>
      <c r="AM430" s="11">
        <v>7220.9847209999998</v>
      </c>
      <c r="AN430" s="11">
        <v>14.1</v>
      </c>
      <c r="AO430" s="11">
        <v>80.180000000000007</v>
      </c>
      <c r="AP430" s="19">
        <v>1.68928072</v>
      </c>
    </row>
    <row r="431" spans="2:42">
      <c r="B431" t="s">
        <v>83</v>
      </c>
      <c r="C431" t="s">
        <v>84</v>
      </c>
      <c r="D431" t="s">
        <v>85</v>
      </c>
      <c r="E431" t="s">
        <v>35</v>
      </c>
      <c r="F431" t="s">
        <v>36</v>
      </c>
      <c r="G431" t="s">
        <v>37</v>
      </c>
      <c r="H431" t="s">
        <v>38</v>
      </c>
      <c r="I431" t="s">
        <v>39</v>
      </c>
      <c r="J431" t="s">
        <v>40</v>
      </c>
      <c r="K431">
        <v>2017</v>
      </c>
      <c r="L431">
        <v>0.49728098122136899</v>
      </c>
      <c r="M431" s="7">
        <v>19.535944700000002</v>
      </c>
      <c r="N431" s="7">
        <f t="shared" si="54"/>
        <v>1.4240129144924834E-3</v>
      </c>
      <c r="O431" s="8">
        <v>2.2838721299999998</v>
      </c>
      <c r="P431" s="8">
        <f t="shared" si="55"/>
        <v>1.6647587091959035E-4</v>
      </c>
      <c r="Q431" s="8">
        <v>0.13414464000000001</v>
      </c>
      <c r="R431" s="8">
        <f t="shared" si="56"/>
        <v>9.7780630884947659E-6</v>
      </c>
      <c r="S431" s="8">
        <v>0.11691470800000001</v>
      </c>
      <c r="T431" s="8">
        <f t="shared" si="57"/>
        <v>8.5221399140281993E-6</v>
      </c>
      <c r="U431" s="8">
        <v>2.9292039999999999E-3</v>
      </c>
      <c r="V431" s="8">
        <f t="shared" si="58"/>
        <v>2.1351536305193573E-7</v>
      </c>
      <c r="W431" s="8">
        <v>8.6544200000000001E-4</v>
      </c>
      <c r="X431" s="8">
        <f t="shared" si="59"/>
        <v>1.5563549093610388E-11</v>
      </c>
      <c r="Y431" s="8">
        <v>8.9258400000000009E-3</v>
      </c>
      <c r="Z431" s="8">
        <f t="shared" si="60"/>
        <v>6.5062179627758608E-7</v>
      </c>
      <c r="AA431" s="8">
        <v>2.0940079E-2</v>
      </c>
      <c r="AB431" s="8">
        <f t="shared" si="61"/>
        <v>1.5263629880408519E-6</v>
      </c>
      <c r="AC431" s="8">
        <v>1.5322354490000001</v>
      </c>
      <c r="AD431" s="18">
        <f t="shared" si="62"/>
        <v>1.116876148517757E-4</v>
      </c>
      <c r="AE431" s="9">
        <v>76.7</v>
      </c>
      <c r="AF431" s="10">
        <v>68.599999999999994</v>
      </c>
      <c r="AG431" s="10">
        <v>31.4</v>
      </c>
      <c r="AH431" s="10">
        <v>80</v>
      </c>
      <c r="AI431" s="10">
        <v>60</v>
      </c>
      <c r="AJ431" s="10">
        <v>54.7</v>
      </c>
      <c r="AK431" s="11">
        <v>13718.93787</v>
      </c>
      <c r="AL431" s="11">
        <v>34.318607</v>
      </c>
      <c r="AM431" s="11">
        <v>3068.3979949999998</v>
      </c>
      <c r="AN431" s="11">
        <v>27.5</v>
      </c>
      <c r="AO431" s="11">
        <v>58.231000000000002</v>
      </c>
      <c r="AP431" s="19">
        <v>11.718367600000001</v>
      </c>
    </row>
    <row r="432" spans="2:42">
      <c r="B432" t="s">
        <v>86</v>
      </c>
      <c r="C432" t="s">
        <v>87</v>
      </c>
      <c r="D432" t="s">
        <v>88</v>
      </c>
      <c r="E432" t="s">
        <v>35</v>
      </c>
      <c r="F432" t="s">
        <v>36</v>
      </c>
      <c r="G432" t="s">
        <v>37</v>
      </c>
      <c r="H432" t="s">
        <v>38</v>
      </c>
      <c r="I432" t="s">
        <v>39</v>
      </c>
      <c r="J432" t="s">
        <v>40</v>
      </c>
      <c r="K432">
        <v>2017</v>
      </c>
      <c r="L432">
        <v>0.54802948126201301</v>
      </c>
      <c r="M432" s="7">
        <v>17.081580859999999</v>
      </c>
      <c r="N432" s="7">
        <f t="shared" si="54"/>
        <v>3.1568103463959989E-4</v>
      </c>
      <c r="O432" s="8">
        <v>38.987961560000002</v>
      </c>
      <c r="P432" s="8">
        <f t="shared" si="55"/>
        <v>7.2052816098367562E-4</v>
      </c>
      <c r="Q432" s="8">
        <v>2.9682332210000002</v>
      </c>
      <c r="R432" s="8">
        <f t="shared" si="56"/>
        <v>5.4855281951749772E-5</v>
      </c>
      <c r="S432" s="8">
        <v>11.26392998</v>
      </c>
      <c r="T432" s="8">
        <f t="shared" si="57"/>
        <v>2.0816627567071729E-4</v>
      </c>
      <c r="U432" s="8">
        <v>0.21584734699999999</v>
      </c>
      <c r="V432" s="8">
        <f t="shared" si="58"/>
        <v>3.9890285555907705E-6</v>
      </c>
      <c r="W432" s="8">
        <v>0.46296537100000001</v>
      </c>
      <c r="X432" s="8">
        <f t="shared" si="59"/>
        <v>7.3720381734960998E-11</v>
      </c>
      <c r="Y432" s="8">
        <v>0.243890365</v>
      </c>
      <c r="Z432" s="8">
        <f t="shared" si="60"/>
        <v>4.5072855605607961E-6</v>
      </c>
      <c r="AA432" s="8">
        <v>0.27673367300000001</v>
      </c>
      <c r="AB432" s="8">
        <f t="shared" si="61"/>
        <v>5.114255696135652E-6</v>
      </c>
      <c r="AC432" s="8">
        <v>14.34073637</v>
      </c>
      <c r="AD432" s="18">
        <f t="shared" si="62"/>
        <v>2.6502807508738628E-4</v>
      </c>
      <c r="AE432" s="9">
        <v>94.8</v>
      </c>
      <c r="AF432" s="10">
        <v>93.3</v>
      </c>
      <c r="AG432" s="10">
        <v>65.2</v>
      </c>
      <c r="AH432" s="10">
        <v>95.2</v>
      </c>
      <c r="AI432" s="10">
        <v>91.4</v>
      </c>
      <c r="AJ432" s="10">
        <v>95.6</v>
      </c>
      <c r="AK432" s="11">
        <v>54110.253660000002</v>
      </c>
      <c r="AL432" s="11">
        <v>47.763116500000002</v>
      </c>
      <c r="AM432" s="11">
        <v>6947.2638260000003</v>
      </c>
      <c r="AN432" s="11">
        <v>15.2</v>
      </c>
      <c r="AO432" s="11">
        <v>77.260999999999996</v>
      </c>
      <c r="AP432" s="19">
        <v>2.89088053</v>
      </c>
    </row>
    <row r="433" spans="2:42">
      <c r="B433" t="s">
        <v>89</v>
      </c>
      <c r="C433" t="s">
        <v>90</v>
      </c>
      <c r="D433" t="s">
        <v>91</v>
      </c>
      <c r="E433" t="s">
        <v>35</v>
      </c>
      <c r="F433" t="s">
        <v>36</v>
      </c>
      <c r="G433" t="s">
        <v>37</v>
      </c>
      <c r="H433" t="s">
        <v>38</v>
      </c>
      <c r="I433" t="s">
        <v>39</v>
      </c>
      <c r="J433" t="s">
        <v>40</v>
      </c>
      <c r="K433">
        <v>2017</v>
      </c>
      <c r="L433">
        <v>1.4024634969446499</v>
      </c>
      <c r="M433" s="7">
        <v>0.67296011200000005</v>
      </c>
      <c r="N433" s="7">
        <f t="shared" si="54"/>
        <v>2.3463063369984643E-5</v>
      </c>
      <c r="O433" s="8">
        <v>4.5793281490000002</v>
      </c>
      <c r="P433" s="8">
        <f t="shared" si="55"/>
        <v>1.5966037902695411E-4</v>
      </c>
      <c r="Q433" s="8">
        <v>0.27859832099999998</v>
      </c>
      <c r="R433" s="8">
        <f t="shared" si="56"/>
        <v>9.7134584113275386E-6</v>
      </c>
      <c r="S433" s="8">
        <v>2.6284865800000001</v>
      </c>
      <c r="T433" s="8">
        <f t="shared" si="57"/>
        <v>9.164339177608525E-5</v>
      </c>
      <c r="U433" s="8">
        <v>1.0561549E-2</v>
      </c>
      <c r="V433" s="8">
        <f t="shared" si="58"/>
        <v>3.6823325640464994E-7</v>
      </c>
      <c r="W433" s="8">
        <v>2.2291861999999999E-2</v>
      </c>
      <c r="X433" s="8">
        <f t="shared" si="59"/>
        <v>1.2838621600143375E-11</v>
      </c>
      <c r="Y433" s="8">
        <v>2.8379120000000002E-3</v>
      </c>
      <c r="Z433" s="8">
        <f t="shared" si="60"/>
        <v>9.8945105225552897E-8</v>
      </c>
      <c r="AA433" s="8">
        <v>6.6620384000000005E-2</v>
      </c>
      <c r="AB433" s="8">
        <f t="shared" si="61"/>
        <v>2.3227502843804674E-6</v>
      </c>
      <c r="AC433" s="8">
        <v>4.600755865</v>
      </c>
      <c r="AD433" s="18">
        <f t="shared" si="62"/>
        <v>1.604074661862329E-4</v>
      </c>
      <c r="AE433" s="9">
        <v>53.3</v>
      </c>
      <c r="AF433" s="10">
        <v>64.3</v>
      </c>
      <c r="AG433" s="10">
        <v>41.4</v>
      </c>
      <c r="AH433" s="10">
        <v>62.4</v>
      </c>
      <c r="AI433" s="10">
        <v>55.7</v>
      </c>
      <c r="AJ433" s="10">
        <v>69.5</v>
      </c>
      <c r="AK433" s="11">
        <v>28681.681560000001</v>
      </c>
      <c r="AL433" s="11">
        <v>46.963078400000001</v>
      </c>
      <c r="AM433" s="11">
        <v>5616.3461500000003</v>
      </c>
      <c r="AN433" s="11">
        <v>16.399999999999999</v>
      </c>
      <c r="AO433" s="11">
        <v>78.724000000000004</v>
      </c>
      <c r="AP433" s="19">
        <v>1.7162955</v>
      </c>
    </row>
    <row r="434" spans="2:42">
      <c r="B434" t="s">
        <v>92</v>
      </c>
      <c r="C434" t="s">
        <v>93</v>
      </c>
      <c r="D434" t="s">
        <v>94</v>
      </c>
      <c r="E434" t="s">
        <v>35</v>
      </c>
      <c r="F434" t="s">
        <v>36</v>
      </c>
      <c r="G434" t="s">
        <v>37</v>
      </c>
      <c r="H434" t="s">
        <v>38</v>
      </c>
      <c r="I434" t="s">
        <v>39</v>
      </c>
      <c r="J434" t="s">
        <v>40</v>
      </c>
      <c r="K434">
        <v>2017</v>
      </c>
      <c r="L434">
        <v>0.65469477913670904</v>
      </c>
      <c r="M434" s="7">
        <v>19.535944700000002</v>
      </c>
      <c r="N434" s="7">
        <f t="shared" si="54"/>
        <v>6.5715610565735189E-4</v>
      </c>
      <c r="O434" s="8">
        <v>3.5150682990000002</v>
      </c>
      <c r="P434" s="8">
        <f t="shared" si="55"/>
        <v>1.1824094662237922E-4</v>
      </c>
      <c r="Q434" s="8">
        <v>0.666504396</v>
      </c>
      <c r="R434" s="8">
        <f t="shared" si="56"/>
        <v>2.2420079499859839E-5</v>
      </c>
      <c r="S434" s="8">
        <v>2.1453260850000002</v>
      </c>
      <c r="T434" s="8">
        <f t="shared" si="57"/>
        <v>7.2165137495691886E-5</v>
      </c>
      <c r="U434" s="8">
        <v>1.4369435E-2</v>
      </c>
      <c r="V434" s="8">
        <f t="shared" si="58"/>
        <v>4.8336346616994925E-7</v>
      </c>
      <c r="W434" s="8">
        <v>3.3452521999999998E-2</v>
      </c>
      <c r="X434" s="8">
        <f t="shared" si="59"/>
        <v>1.625952867512381E-11</v>
      </c>
      <c r="Y434" s="8">
        <v>6.0777979999999997E-3</v>
      </c>
      <c r="Z434" s="8">
        <f t="shared" si="60"/>
        <v>2.0444683510247864E-7</v>
      </c>
      <c r="AA434" s="8">
        <v>2.0688602E-2</v>
      </c>
      <c r="AB434" s="8">
        <f t="shared" si="61"/>
        <v>6.9592954579846355E-7</v>
      </c>
      <c r="AC434" s="8">
        <v>3.1247354930000002</v>
      </c>
      <c r="AD434" s="18">
        <f t="shared" si="62"/>
        <v>1.0511081185591121E-4</v>
      </c>
      <c r="AE434" s="9">
        <v>57.6</v>
      </c>
      <c r="AF434" s="10">
        <v>68.099999999999994</v>
      </c>
      <c r="AG434" s="10">
        <v>74.3</v>
      </c>
      <c r="AH434" s="10">
        <v>72.400000000000006</v>
      </c>
      <c r="AI434" s="10">
        <v>69.5</v>
      </c>
      <c r="AJ434" s="10">
        <v>65</v>
      </c>
      <c r="AK434" s="11">
        <v>29728.012159999998</v>
      </c>
      <c r="AL434" s="11">
        <v>58.108700399999996</v>
      </c>
      <c r="AM434" s="11">
        <v>4352.6330879999996</v>
      </c>
      <c r="AN434" s="11">
        <v>14.6</v>
      </c>
      <c r="AO434" s="11">
        <v>71.061999999999998</v>
      </c>
      <c r="AP434" s="19">
        <v>-8.6313549999999992</v>
      </c>
    </row>
    <row r="435" spans="2:42">
      <c r="B435" t="s">
        <v>95</v>
      </c>
      <c r="C435" t="s">
        <v>96</v>
      </c>
      <c r="D435" t="s">
        <v>97</v>
      </c>
      <c r="E435" t="s">
        <v>35</v>
      </c>
      <c r="F435" t="s">
        <v>36</v>
      </c>
      <c r="G435" t="s">
        <v>37</v>
      </c>
      <c r="H435" t="s">
        <v>38</v>
      </c>
      <c r="I435" t="s">
        <v>39</v>
      </c>
      <c r="J435" t="s">
        <v>40</v>
      </c>
      <c r="K435">
        <v>2017</v>
      </c>
      <c r="L435">
        <v>0.60868772072001898</v>
      </c>
      <c r="M435" s="7">
        <v>67.214347770000003</v>
      </c>
      <c r="N435" s="7">
        <f t="shared" si="54"/>
        <v>1.2080548066888068E-3</v>
      </c>
      <c r="O435" s="8">
        <v>0.31676580199999999</v>
      </c>
      <c r="P435" s="8">
        <f t="shared" si="55"/>
        <v>5.6932851749181642E-6</v>
      </c>
      <c r="Q435" s="8">
        <v>1.4295429999999999E-3</v>
      </c>
      <c r="R435" s="8">
        <f t="shared" si="56"/>
        <v>2.5693417399925128E-8</v>
      </c>
      <c r="S435" s="8"/>
      <c r="T435" s="8">
        <f t="shared" si="57"/>
        <v>0</v>
      </c>
      <c r="U435" s="8">
        <v>1.9105500000000001E-4</v>
      </c>
      <c r="V435" s="8">
        <f t="shared" si="58"/>
        <v>3.4338637322156068E-9</v>
      </c>
      <c r="W435" s="14">
        <v>2.36829E-6</v>
      </c>
      <c r="X435" s="8">
        <f t="shared" si="59"/>
        <v>6.1717411904559922E-14</v>
      </c>
      <c r="Y435" s="8">
        <v>3.739133E-3</v>
      </c>
      <c r="Z435" s="8">
        <f t="shared" si="60"/>
        <v>6.7204067931383839E-8</v>
      </c>
      <c r="AA435" s="8">
        <v>2.4655010000000002E-3</v>
      </c>
      <c r="AB435" s="8">
        <f t="shared" si="61"/>
        <v>4.4312865225413163E-8</v>
      </c>
      <c r="AC435" s="8">
        <v>0.31330966300000002</v>
      </c>
      <c r="AD435" s="18">
        <f t="shared" si="62"/>
        <v>5.6311674058694833E-6</v>
      </c>
      <c r="AE435" s="9">
        <v>94.3</v>
      </c>
      <c r="AF435" s="10">
        <v>90</v>
      </c>
      <c r="AG435" s="10">
        <v>95.7</v>
      </c>
      <c r="AH435" s="10">
        <v>90.5</v>
      </c>
      <c r="AI435" s="10">
        <v>91</v>
      </c>
      <c r="AJ435" s="10">
        <v>94.6</v>
      </c>
      <c r="AK435" s="11">
        <v>55638.492059999997</v>
      </c>
      <c r="AL435" s="11">
        <v>18.673316700000001</v>
      </c>
      <c r="AM435" s="11">
        <v>54301.10658</v>
      </c>
      <c r="AN435" s="11">
        <v>80.8</v>
      </c>
      <c r="AO435" s="11">
        <v>93.772999999999996</v>
      </c>
      <c r="AP435" s="19">
        <v>-28.307231999999999</v>
      </c>
    </row>
    <row r="436" spans="2:42">
      <c r="B436" t="s">
        <v>98</v>
      </c>
      <c r="C436" t="s">
        <v>99</v>
      </c>
      <c r="D436" t="s">
        <v>100</v>
      </c>
      <c r="E436" t="s">
        <v>35</v>
      </c>
      <c r="F436" t="s">
        <v>36</v>
      </c>
      <c r="G436" t="s">
        <v>37</v>
      </c>
      <c r="H436" t="s">
        <v>38</v>
      </c>
      <c r="I436" t="s">
        <v>39</v>
      </c>
      <c r="J436" t="s">
        <v>40</v>
      </c>
      <c r="K436">
        <v>2017</v>
      </c>
      <c r="L436">
        <v>0.194048414010937</v>
      </c>
      <c r="M436" s="7">
        <v>3498.4020719999999</v>
      </c>
      <c r="N436" s="7">
        <f t="shared" si="54"/>
        <v>0.32733155035676481</v>
      </c>
      <c r="O436" s="8">
        <v>115.04378370000001</v>
      </c>
      <c r="P436" s="8">
        <f t="shared" si="55"/>
        <v>1.0764188707417764E-2</v>
      </c>
      <c r="Q436" s="8">
        <v>8.4549708829999997</v>
      </c>
      <c r="R436" s="8">
        <f t="shared" si="56"/>
        <v>7.9109795569366867E-4</v>
      </c>
      <c r="S436" s="8">
        <v>167.73656750000001</v>
      </c>
      <c r="T436" s="8">
        <f t="shared" si="57"/>
        <v>1.5694442651615584E-2</v>
      </c>
      <c r="U436" s="8">
        <v>0.44590598300000001</v>
      </c>
      <c r="V436" s="8">
        <f t="shared" si="58"/>
        <v>4.1721647119109989E-5</v>
      </c>
      <c r="W436" s="8">
        <v>0.11006779799999999</v>
      </c>
      <c r="X436" s="8">
        <f t="shared" si="59"/>
        <v>3.903728374803033E-9</v>
      </c>
      <c r="Y436" s="8">
        <v>7.8904694999999997E-2</v>
      </c>
      <c r="Z436" s="8">
        <f t="shared" si="60"/>
        <v>7.3827980927338263E-6</v>
      </c>
      <c r="AA436" s="8">
        <v>0.81467879300000001</v>
      </c>
      <c r="AB436" s="8">
        <f t="shared" si="61"/>
        <v>7.6226250404378302E-5</v>
      </c>
      <c r="AC436" s="8">
        <v>44.212569989999999</v>
      </c>
      <c r="AD436" s="18">
        <f t="shared" si="62"/>
        <v>4.1367941083484683E-3</v>
      </c>
      <c r="AE436" s="9">
        <v>45.2</v>
      </c>
      <c r="AF436" s="10">
        <v>53.3</v>
      </c>
      <c r="AG436" s="10">
        <v>28.1</v>
      </c>
      <c r="AH436" s="10">
        <v>55.7</v>
      </c>
      <c r="AI436" s="10">
        <v>40</v>
      </c>
      <c r="AJ436" s="10">
        <v>51.2</v>
      </c>
      <c r="AK436" s="11">
        <v>10687.64092</v>
      </c>
      <c r="AL436" s="11">
        <v>29.262553400000002</v>
      </c>
      <c r="AM436" s="11">
        <v>877.29916560000004</v>
      </c>
      <c r="AN436" s="11">
        <v>25.2</v>
      </c>
      <c r="AO436" s="11">
        <v>54.658999999999999</v>
      </c>
      <c r="AP436" s="19">
        <v>2.0194892000000002</v>
      </c>
    </row>
    <row r="437" spans="2:42">
      <c r="B437" t="s">
        <v>101</v>
      </c>
      <c r="C437" t="s">
        <v>102</v>
      </c>
      <c r="D437" t="s">
        <v>103</v>
      </c>
      <c r="E437" t="s">
        <v>35</v>
      </c>
      <c r="F437" t="s">
        <v>36</v>
      </c>
      <c r="G437" t="s">
        <v>37</v>
      </c>
      <c r="H437" t="s">
        <v>38</v>
      </c>
      <c r="I437" t="s">
        <v>39</v>
      </c>
      <c r="J437" t="s">
        <v>40</v>
      </c>
      <c r="K437">
        <v>2017</v>
      </c>
      <c r="L437">
        <v>0.41083344807783401</v>
      </c>
      <c r="M437" s="7">
        <v>67.30283249</v>
      </c>
      <c r="N437" s="7">
        <f t="shared" si="54"/>
        <v>8.3657597560274626E-4</v>
      </c>
      <c r="O437" s="8">
        <v>17.351452349999999</v>
      </c>
      <c r="P437" s="8">
        <f t="shared" si="55"/>
        <v>2.1567900845752077E-4</v>
      </c>
      <c r="Q437" s="8">
        <v>0.17165556200000001</v>
      </c>
      <c r="R437" s="8">
        <f t="shared" si="56"/>
        <v>2.1336831443033922E-6</v>
      </c>
      <c r="S437" s="8">
        <v>1.30008043</v>
      </c>
      <c r="T437" s="8">
        <f t="shared" si="57"/>
        <v>1.6160033892346033E-5</v>
      </c>
      <c r="U437" s="8">
        <v>1.2016466E-2</v>
      </c>
      <c r="V437" s="8">
        <f t="shared" si="58"/>
        <v>1.493649880001838E-7</v>
      </c>
      <c r="W437" s="8">
        <v>2.0090736000000001E-2</v>
      </c>
      <c r="X437" s="8">
        <f t="shared" si="59"/>
        <v>1.856610724009459E-12</v>
      </c>
      <c r="Y437" s="8"/>
      <c r="Z437" s="8">
        <f t="shared" si="60"/>
        <v>0</v>
      </c>
      <c r="AA437" s="8">
        <v>1.1093937999999999E-2</v>
      </c>
      <c r="AB437" s="8">
        <f t="shared" si="61"/>
        <v>1.3789794072939439E-7</v>
      </c>
      <c r="AC437" s="8">
        <v>1.0655670669999999</v>
      </c>
      <c r="AD437" s="18">
        <f t="shared" si="62"/>
        <v>1.3245026630612198E-5</v>
      </c>
      <c r="AE437" s="9">
        <v>91.4</v>
      </c>
      <c r="AF437" s="10">
        <v>86.2</v>
      </c>
      <c r="AG437" s="10">
        <v>84.3</v>
      </c>
      <c r="AH437" s="10">
        <v>91.9</v>
      </c>
      <c r="AI437" s="10">
        <v>88.1</v>
      </c>
      <c r="AJ437" s="10">
        <v>90.6</v>
      </c>
      <c r="AK437" s="11">
        <v>80450.352929999994</v>
      </c>
      <c r="AL437" s="11">
        <v>65.161852199999998</v>
      </c>
      <c r="AM437" s="11">
        <v>5804.1054839999997</v>
      </c>
      <c r="AN437" s="11">
        <v>10.1</v>
      </c>
      <c r="AO437" s="11">
        <v>62.947000000000003</v>
      </c>
      <c r="AP437" s="19">
        <v>20.4067173</v>
      </c>
    </row>
    <row r="438" spans="2:42">
      <c r="B438" t="s">
        <v>104</v>
      </c>
      <c r="C438" t="s">
        <v>105</v>
      </c>
      <c r="D438" t="s">
        <v>106</v>
      </c>
      <c r="E438" t="s">
        <v>35</v>
      </c>
      <c r="F438" t="s">
        <v>36</v>
      </c>
      <c r="G438" t="s">
        <v>37</v>
      </c>
      <c r="H438" t="s">
        <v>38</v>
      </c>
      <c r="I438" t="s">
        <v>39</v>
      </c>
      <c r="J438" t="s">
        <v>40</v>
      </c>
      <c r="K438">
        <v>2017</v>
      </c>
      <c r="L438">
        <v>0.54305096284000198</v>
      </c>
      <c r="M438" s="7">
        <v>4.5686063160000003</v>
      </c>
      <c r="N438" s="7">
        <f t="shared" si="54"/>
        <v>1.1574628409370128E-4</v>
      </c>
      <c r="O438" s="8">
        <v>1.8501949559999999</v>
      </c>
      <c r="P438" s="8">
        <f t="shared" si="55"/>
        <v>4.6874949644032565E-5</v>
      </c>
      <c r="Q438" s="8">
        <v>1.0493338E-2</v>
      </c>
      <c r="R438" s="8">
        <f t="shared" si="56"/>
        <v>2.6585019527413166E-7</v>
      </c>
      <c r="S438" s="8">
        <v>0.31067430200000001</v>
      </c>
      <c r="T438" s="8">
        <f t="shared" si="57"/>
        <v>7.8709771717402551E-6</v>
      </c>
      <c r="U438" s="8">
        <v>5.7544370000000003E-3</v>
      </c>
      <c r="V438" s="8">
        <f t="shared" si="58"/>
        <v>1.4578947139058023E-7</v>
      </c>
      <c r="W438" s="8">
        <v>3.4942648999999999E-2</v>
      </c>
      <c r="X438" s="8">
        <f t="shared" si="59"/>
        <v>3.6935967790323901E-12</v>
      </c>
      <c r="Y438" s="8">
        <v>1.848E-3</v>
      </c>
      <c r="Z438" s="8">
        <f t="shared" si="60"/>
        <v>4.6819340124810166E-8</v>
      </c>
      <c r="AA438" s="8">
        <v>5.1975056999999998E-2</v>
      </c>
      <c r="AB438" s="8">
        <f t="shared" si="61"/>
        <v>1.3167953851133092E-6</v>
      </c>
      <c r="AC438" s="8">
        <v>6.0153362579999996</v>
      </c>
      <c r="AD438" s="18">
        <f t="shared" si="62"/>
        <v>1.5239939081623639E-4</v>
      </c>
      <c r="AE438" s="9">
        <v>78.599999999999994</v>
      </c>
      <c r="AF438" s="10">
        <v>89</v>
      </c>
      <c r="AG438" s="10">
        <v>16.7</v>
      </c>
      <c r="AH438" s="10">
        <v>87.1</v>
      </c>
      <c r="AI438" s="10">
        <v>81</v>
      </c>
      <c r="AJ438" s="10">
        <v>70.900000000000006</v>
      </c>
      <c r="AK438" s="11">
        <v>39470.868130000003</v>
      </c>
      <c r="AL438" s="11">
        <v>29.759704299999999</v>
      </c>
      <c r="AM438" s="11">
        <v>6844.5938969999997</v>
      </c>
      <c r="AN438" s="11">
        <v>3.9</v>
      </c>
      <c r="AO438" s="11">
        <v>92.335999999999999</v>
      </c>
      <c r="AP438" s="19">
        <v>4.7126275199999998</v>
      </c>
    </row>
    <row r="439" spans="2:42">
      <c r="B439" t="s">
        <v>107</v>
      </c>
      <c r="C439" t="s">
        <v>108</v>
      </c>
      <c r="D439" t="s">
        <v>109</v>
      </c>
      <c r="E439" t="s">
        <v>35</v>
      </c>
      <c r="F439" t="s">
        <v>36</v>
      </c>
      <c r="G439" t="s">
        <v>37</v>
      </c>
      <c r="H439" t="s">
        <v>38</v>
      </c>
      <c r="I439" t="s">
        <v>39</v>
      </c>
      <c r="J439" t="s">
        <v>40</v>
      </c>
      <c r="K439">
        <v>2017</v>
      </c>
      <c r="L439">
        <v>0.87141892199266002</v>
      </c>
      <c r="M439" s="7">
        <v>82.78223989</v>
      </c>
      <c r="N439" s="7">
        <f t="shared" si="54"/>
        <v>1.9643482762515584E-3</v>
      </c>
      <c r="O439" s="8">
        <v>21.755142809999999</v>
      </c>
      <c r="P439" s="8">
        <f t="shared" si="55"/>
        <v>5.1623001908640412E-4</v>
      </c>
      <c r="Q439" s="8">
        <v>2.5715258780000001</v>
      </c>
      <c r="R439" s="8">
        <f t="shared" si="56"/>
        <v>6.1020001784172252E-5</v>
      </c>
      <c r="S439" s="8">
        <v>4.4809705539999998</v>
      </c>
      <c r="T439" s="8">
        <f t="shared" si="57"/>
        <v>1.0632941069703025E-4</v>
      </c>
      <c r="U439" s="8">
        <v>4.7999396999999999E-2</v>
      </c>
      <c r="V439" s="8">
        <f t="shared" si="58"/>
        <v>1.138982623366465E-6</v>
      </c>
      <c r="W439" s="8">
        <v>0.24961176900000001</v>
      </c>
      <c r="X439" s="8">
        <f t="shared" si="59"/>
        <v>2.7027035700693378E-11</v>
      </c>
      <c r="Y439" s="8">
        <v>3.8679389000000002E-2</v>
      </c>
      <c r="Z439" s="8">
        <f t="shared" si="60"/>
        <v>9.1782719590064833E-7</v>
      </c>
      <c r="AA439" s="8">
        <v>0.38047860300000003</v>
      </c>
      <c r="AB439" s="8">
        <f t="shared" si="61"/>
        <v>9.0284158648857142E-6</v>
      </c>
      <c r="AC439" s="8">
        <v>14.760492709999999</v>
      </c>
      <c r="AD439" s="18">
        <f t="shared" si="62"/>
        <v>3.5025324816095882E-4</v>
      </c>
      <c r="AE439" s="9">
        <v>60.5</v>
      </c>
      <c r="AF439" s="10">
        <v>69</v>
      </c>
      <c r="AG439" s="10">
        <v>57.6</v>
      </c>
      <c r="AH439" s="10">
        <v>74.8</v>
      </c>
      <c r="AI439" s="10">
        <v>62.4</v>
      </c>
      <c r="AJ439" s="10">
        <v>78.8</v>
      </c>
      <c r="AK439" s="11">
        <v>42142.343540000002</v>
      </c>
      <c r="AL439" s="11">
        <v>43.374329600000003</v>
      </c>
      <c r="AM439" s="11">
        <v>5248.5196720000004</v>
      </c>
      <c r="AN439" s="11">
        <v>16.399999999999999</v>
      </c>
      <c r="AO439" s="11">
        <v>70.144000000000005</v>
      </c>
      <c r="AP439" s="19">
        <v>0.44334154999999997</v>
      </c>
    </row>
    <row r="440" spans="2:42">
      <c r="B440" t="s">
        <v>110</v>
      </c>
      <c r="C440" t="s">
        <v>111</v>
      </c>
      <c r="D440" t="s">
        <v>112</v>
      </c>
      <c r="E440" t="s">
        <v>35</v>
      </c>
      <c r="F440" t="s">
        <v>36</v>
      </c>
      <c r="G440" t="s">
        <v>37</v>
      </c>
      <c r="H440" t="s">
        <v>38</v>
      </c>
      <c r="I440" t="s">
        <v>39</v>
      </c>
      <c r="J440" t="s">
        <v>40</v>
      </c>
      <c r="K440">
        <v>2017</v>
      </c>
      <c r="L440">
        <v>1.1328703444210799</v>
      </c>
      <c r="M440" s="7">
        <v>1.407810386</v>
      </c>
      <c r="N440" s="7">
        <f t="shared" si="54"/>
        <v>3.3968802663124061E-5</v>
      </c>
      <c r="O440" s="8">
        <v>44.70026343</v>
      </c>
      <c r="P440" s="8">
        <f t="shared" si="55"/>
        <v>1.078564586923946E-3</v>
      </c>
      <c r="Q440" s="8">
        <v>1.160327508</v>
      </c>
      <c r="R440" s="8">
        <f t="shared" si="56"/>
        <v>2.7997332975952701E-5</v>
      </c>
      <c r="S440" s="8">
        <v>4.2894392510000001</v>
      </c>
      <c r="T440" s="8">
        <f t="shared" si="57"/>
        <v>1.0349910534945981E-4</v>
      </c>
      <c r="U440" s="8">
        <v>0.36011082700000002</v>
      </c>
      <c r="V440" s="8">
        <f t="shared" si="58"/>
        <v>8.6890491367758717E-6</v>
      </c>
      <c r="W440" s="8">
        <v>0.64365154899999999</v>
      </c>
      <c r="X440" s="8">
        <f t="shared" si="59"/>
        <v>2.0965649805720927E-10</v>
      </c>
      <c r="Y440" s="8">
        <v>0.55174400899999998</v>
      </c>
      <c r="Z440" s="8">
        <f t="shared" si="60"/>
        <v>1.3312931591259012E-5</v>
      </c>
      <c r="AA440" s="8">
        <v>0.58701783600000002</v>
      </c>
      <c r="AB440" s="8">
        <f t="shared" si="61"/>
        <v>1.4164047395242133E-5</v>
      </c>
      <c r="AC440" s="8">
        <v>7.5274100620000004</v>
      </c>
      <c r="AD440" s="18">
        <f t="shared" si="62"/>
        <v>1.8162751852328815E-4</v>
      </c>
      <c r="AE440" s="9">
        <v>90</v>
      </c>
      <c r="AF440" s="10">
        <v>92.4</v>
      </c>
      <c r="AG440" s="10">
        <v>87.6</v>
      </c>
      <c r="AH440" s="10">
        <v>90</v>
      </c>
      <c r="AI440" s="10">
        <v>89</v>
      </c>
      <c r="AJ440" s="10">
        <v>80.3</v>
      </c>
      <c r="AK440" s="11">
        <v>41444.21574</v>
      </c>
      <c r="AL440" s="11">
        <v>13.108367599999999</v>
      </c>
      <c r="AM440" s="11">
        <v>8190.333302</v>
      </c>
      <c r="AN440" s="11">
        <v>6.9</v>
      </c>
      <c r="AO440" s="11">
        <v>91.534999999999997</v>
      </c>
      <c r="AP440" s="19">
        <v>0.38131964000000002</v>
      </c>
    </row>
    <row r="441" spans="2:42">
      <c r="B441" t="s">
        <v>113</v>
      </c>
      <c r="C441" t="s">
        <v>114</v>
      </c>
      <c r="D441" t="s">
        <v>115</v>
      </c>
      <c r="E441" t="s">
        <v>35</v>
      </c>
      <c r="F441" t="s">
        <v>36</v>
      </c>
      <c r="G441" t="s">
        <v>37</v>
      </c>
      <c r="H441" t="s">
        <v>38</v>
      </c>
      <c r="I441" t="s">
        <v>39</v>
      </c>
      <c r="J441" t="s">
        <v>40</v>
      </c>
      <c r="K441">
        <v>2017</v>
      </c>
      <c r="L441">
        <v>0.542846294274692</v>
      </c>
      <c r="M441" s="7">
        <v>33.41673248</v>
      </c>
      <c r="N441" s="7">
        <f t="shared" si="54"/>
        <v>1.2087443712318806E-3</v>
      </c>
      <c r="O441" s="8">
        <v>1.245367417</v>
      </c>
      <c r="P441" s="8">
        <f t="shared" si="55"/>
        <v>4.5047218674515247E-5</v>
      </c>
      <c r="Q441" s="8">
        <v>0.221075666</v>
      </c>
      <c r="R441" s="8">
        <f t="shared" si="56"/>
        <v>7.9967114395093375E-6</v>
      </c>
      <c r="S441" s="8">
        <v>0.17168361700000001</v>
      </c>
      <c r="T441" s="8">
        <f t="shared" si="57"/>
        <v>6.2101106326204166E-6</v>
      </c>
      <c r="U441" s="8">
        <v>1.3824998999999999E-2</v>
      </c>
      <c r="V441" s="8">
        <f t="shared" si="58"/>
        <v>5.0007551556807323E-7</v>
      </c>
      <c r="W441" s="8">
        <v>1.9284327E-2</v>
      </c>
      <c r="X441" s="8">
        <f t="shared" si="59"/>
        <v>1.808864660826914E-11</v>
      </c>
      <c r="Y441" s="8"/>
      <c r="Z441" s="8">
        <f t="shared" si="60"/>
        <v>0</v>
      </c>
      <c r="AA441" s="8">
        <v>7.701411E-3</v>
      </c>
      <c r="AB441" s="8">
        <f t="shared" si="61"/>
        <v>2.7857413056063368E-7</v>
      </c>
      <c r="AC441" s="8">
        <v>0.78734887499999995</v>
      </c>
      <c r="AD441" s="18">
        <f t="shared" si="62"/>
        <v>2.847984977051842E-5</v>
      </c>
      <c r="AE441" s="9">
        <v>66.7</v>
      </c>
      <c r="AF441" s="10">
        <v>77.599999999999994</v>
      </c>
      <c r="AG441" s="10">
        <v>62.9</v>
      </c>
      <c r="AH441" s="10">
        <v>82.4</v>
      </c>
      <c r="AI441" s="10">
        <v>78.599999999999994</v>
      </c>
      <c r="AJ441" s="10">
        <v>73.900000000000006</v>
      </c>
      <c r="AK441" s="11">
        <v>27645.822619999999</v>
      </c>
      <c r="AL441" s="11">
        <v>31.063686199999999</v>
      </c>
      <c r="AM441" s="11">
        <v>3600.4670879999999</v>
      </c>
      <c r="AN441" s="11">
        <v>42.6</v>
      </c>
      <c r="AO441" s="11">
        <v>68.075000000000003</v>
      </c>
      <c r="AP441" s="19">
        <v>4.0488001899999997</v>
      </c>
    </row>
    <row r="442" spans="2:42">
      <c r="B442" t="s">
        <v>116</v>
      </c>
      <c r="C442" t="s">
        <v>117</v>
      </c>
      <c r="D442" t="s">
        <v>118</v>
      </c>
      <c r="E442" t="s">
        <v>35</v>
      </c>
      <c r="F442" t="s">
        <v>36</v>
      </c>
      <c r="G442" t="s">
        <v>37</v>
      </c>
      <c r="H442" t="s">
        <v>38</v>
      </c>
      <c r="I442" t="s">
        <v>39</v>
      </c>
      <c r="J442" t="s">
        <v>40</v>
      </c>
      <c r="K442">
        <v>2017</v>
      </c>
      <c r="L442">
        <v>0.48802284022017101</v>
      </c>
      <c r="M442" s="7">
        <v>82.17718936</v>
      </c>
      <c r="N442" s="7">
        <f t="shared" si="54"/>
        <v>2.4463645209931648E-3</v>
      </c>
      <c r="O442" s="8">
        <v>2.3169618459999999</v>
      </c>
      <c r="P442" s="8">
        <f t="shared" si="55"/>
        <v>6.897453296581362E-5</v>
      </c>
      <c r="Q442" s="8">
        <v>0.20479951599999999</v>
      </c>
      <c r="R442" s="8">
        <f t="shared" si="56"/>
        <v>6.0967559703720185E-6</v>
      </c>
      <c r="S442" s="8">
        <v>0.26166880799999997</v>
      </c>
      <c r="T442" s="8">
        <f t="shared" si="57"/>
        <v>7.7897199104422162E-6</v>
      </c>
      <c r="U442" s="8">
        <v>4.9064640000000001E-3</v>
      </c>
      <c r="V442" s="8">
        <f t="shared" si="58"/>
        <v>1.4606242372865461E-7</v>
      </c>
      <c r="W442" s="8">
        <v>2.6613008E-2</v>
      </c>
      <c r="X442" s="8">
        <f t="shared" si="59"/>
        <v>4.3481887619045091E-12</v>
      </c>
      <c r="Y442" s="8">
        <v>3.6064000000000001E-3</v>
      </c>
      <c r="Z442" s="8">
        <f t="shared" si="60"/>
        <v>1.0736031588839131E-7</v>
      </c>
      <c r="AA442" s="8">
        <v>1.5341682000000001E-2</v>
      </c>
      <c r="AB442" s="8">
        <f t="shared" si="61"/>
        <v>4.5671246278262171E-7</v>
      </c>
      <c r="AC442" s="8">
        <v>0.94174480100000002</v>
      </c>
      <c r="AD442" s="18">
        <f t="shared" si="62"/>
        <v>2.8035165073649681E-5</v>
      </c>
      <c r="AE442" s="9">
        <v>67.599999999999994</v>
      </c>
      <c r="AF442" s="10">
        <v>79</v>
      </c>
      <c r="AG442" s="10">
        <v>72.400000000000006</v>
      </c>
      <c r="AH442" s="10">
        <v>82.9</v>
      </c>
      <c r="AI442" s="10">
        <v>80</v>
      </c>
      <c r="AJ442" s="10">
        <v>78.3</v>
      </c>
      <c r="AK442" s="11">
        <v>33591.555410000001</v>
      </c>
      <c r="AL442" s="11">
        <v>46.859085899999997</v>
      </c>
      <c r="AM442" s="11">
        <v>4203.8401640000002</v>
      </c>
      <c r="AN442" s="11">
        <v>33.799999999999997</v>
      </c>
      <c r="AO442" s="11">
        <v>67.516000000000005</v>
      </c>
      <c r="AP442" s="19">
        <v>2.89745572</v>
      </c>
    </row>
    <row r="443" spans="2:42">
      <c r="B443" t="s">
        <v>119</v>
      </c>
      <c r="C443" t="s">
        <v>120</v>
      </c>
      <c r="D443" t="s">
        <v>121</v>
      </c>
      <c r="E443" t="s">
        <v>35</v>
      </c>
      <c r="F443" t="s">
        <v>36</v>
      </c>
      <c r="G443" t="s">
        <v>37</v>
      </c>
      <c r="H443" t="s">
        <v>38</v>
      </c>
      <c r="I443" t="s">
        <v>39</v>
      </c>
      <c r="J443" t="s">
        <v>40</v>
      </c>
      <c r="K443">
        <v>2017</v>
      </c>
      <c r="L443">
        <v>0.81637063167883805</v>
      </c>
      <c r="M443" s="7">
        <v>11.86942228</v>
      </c>
      <c r="N443" s="7">
        <f t="shared" si="54"/>
        <v>1.0322507582590025E-4</v>
      </c>
      <c r="O443" s="8">
        <v>0.51638802500000003</v>
      </c>
      <c r="P443" s="8">
        <f t="shared" si="55"/>
        <v>4.4908835307030524E-6</v>
      </c>
      <c r="Q443" s="8">
        <v>1.1695494000000001E-2</v>
      </c>
      <c r="R443" s="8">
        <f t="shared" si="56"/>
        <v>1.0171246978091013E-7</v>
      </c>
      <c r="S443" s="8">
        <v>2.5346324999999999E-2</v>
      </c>
      <c r="T443" s="8">
        <f t="shared" si="57"/>
        <v>2.2042996350728125E-7</v>
      </c>
      <c r="U443" s="8">
        <v>2.209122E-3</v>
      </c>
      <c r="V443" s="8">
        <f t="shared" si="58"/>
        <v>1.92121217511072E-8</v>
      </c>
      <c r="W443" s="8">
        <v>2.7446839999999998E-3</v>
      </c>
      <c r="X443" s="8">
        <f t="shared" si="59"/>
        <v>1.6708249801476167E-13</v>
      </c>
      <c r="Y443" s="8"/>
      <c r="Z443" s="8">
        <f t="shared" si="60"/>
        <v>0</v>
      </c>
      <c r="AA443" s="8">
        <v>4.376507E-3</v>
      </c>
      <c r="AB443" s="8">
        <f t="shared" si="61"/>
        <v>3.8061268381091179E-8</v>
      </c>
      <c r="AC443" s="8">
        <v>7.0023638999999999E-2</v>
      </c>
      <c r="AD443" s="18">
        <f t="shared" si="62"/>
        <v>6.0897618054755609E-7</v>
      </c>
      <c r="AE443" s="9">
        <v>96.2</v>
      </c>
      <c r="AF443" s="10">
        <v>93.8</v>
      </c>
      <c r="AG443" s="10">
        <v>94.8</v>
      </c>
      <c r="AH443" s="10">
        <v>93.8</v>
      </c>
      <c r="AI443" s="10">
        <v>95.2</v>
      </c>
      <c r="AJ443" s="10">
        <v>97.5</v>
      </c>
      <c r="AK443" s="11">
        <v>114985.8422</v>
      </c>
      <c r="AL443" s="11">
        <v>50.945829400000001</v>
      </c>
      <c r="AM443" s="11">
        <v>13847.89783</v>
      </c>
      <c r="AN443" s="11">
        <v>15.3</v>
      </c>
      <c r="AO443" s="11">
        <v>90.727000000000004</v>
      </c>
      <c r="AP443" s="19">
        <v>-41.650995000000002</v>
      </c>
    </row>
    <row r="444" spans="2:42">
      <c r="B444" t="s">
        <v>122</v>
      </c>
      <c r="C444" t="s">
        <v>123</v>
      </c>
      <c r="D444" t="s">
        <v>124</v>
      </c>
      <c r="E444" t="s">
        <v>35</v>
      </c>
      <c r="F444" t="s">
        <v>36</v>
      </c>
      <c r="G444" t="s">
        <v>37</v>
      </c>
      <c r="H444" t="s">
        <v>38</v>
      </c>
      <c r="I444" t="s">
        <v>39</v>
      </c>
      <c r="J444" t="s">
        <v>40</v>
      </c>
      <c r="K444">
        <v>2017</v>
      </c>
      <c r="L444">
        <v>0.948779856642891</v>
      </c>
      <c r="M444" s="7">
        <v>0.108211062</v>
      </c>
      <c r="N444" s="7">
        <f t="shared" si="54"/>
        <v>2.3645891281787453E-6</v>
      </c>
      <c r="O444" s="8">
        <v>5.2571950999999999E-2</v>
      </c>
      <c r="P444" s="8">
        <f t="shared" si="55"/>
        <v>1.1487833266227966E-6</v>
      </c>
      <c r="Q444" s="8">
        <v>9.7572100000000003E-4</v>
      </c>
      <c r="R444" s="8">
        <f t="shared" si="56"/>
        <v>2.1321103647755472E-8</v>
      </c>
      <c r="S444" s="16">
        <v>1.6019999999999999E-5</v>
      </c>
      <c r="T444" s="8">
        <f t="shared" si="57"/>
        <v>3.5006326648400787E-10</v>
      </c>
      <c r="U444" s="14">
        <v>5.6320299999999997E-5</v>
      </c>
      <c r="V444" s="8">
        <f t="shared" si="58"/>
        <v>1.2306908980873451E-9</v>
      </c>
      <c r="W444" s="8">
        <v>4.1528499999999999E-4</v>
      </c>
      <c r="X444" s="8">
        <f t="shared" si="59"/>
        <v>2.6892613971073236E-14</v>
      </c>
      <c r="Y444" s="8"/>
      <c r="Z444" s="8">
        <f t="shared" si="60"/>
        <v>0</v>
      </c>
      <c r="AA444" s="8">
        <v>1.1720980000000001E-3</v>
      </c>
      <c r="AB444" s="8">
        <f t="shared" si="61"/>
        <v>2.5612263078612528E-8</v>
      </c>
      <c r="AC444" s="8">
        <v>0.104166166</v>
      </c>
      <c r="AD444" s="18">
        <f t="shared" si="62"/>
        <v>2.2762015185440324E-6</v>
      </c>
      <c r="AE444" s="9">
        <v>74.8</v>
      </c>
      <c r="AF444" s="10">
        <v>80</v>
      </c>
      <c r="AG444" s="10">
        <v>93.3</v>
      </c>
      <c r="AH444" s="10">
        <v>88.1</v>
      </c>
      <c r="AI444" s="10">
        <v>84.3</v>
      </c>
      <c r="AJ444" s="10">
        <v>87.2</v>
      </c>
      <c r="AK444" s="11">
        <v>45763.156360000001</v>
      </c>
      <c r="AL444" s="11">
        <v>32.4375</v>
      </c>
      <c r="AM444" s="11">
        <v>5071.6539709999997</v>
      </c>
      <c r="AN444" s="11">
        <v>7.3</v>
      </c>
      <c r="AO444" s="11">
        <v>94.546000000000006</v>
      </c>
      <c r="AP444" s="19">
        <v>299.82494100000002</v>
      </c>
    </row>
    <row r="445" spans="2:42">
      <c r="B445" t="s">
        <v>125</v>
      </c>
      <c r="C445" t="s">
        <v>126</v>
      </c>
      <c r="D445" t="s">
        <v>127</v>
      </c>
      <c r="E445" t="s">
        <v>35</v>
      </c>
      <c r="F445" t="s">
        <v>36</v>
      </c>
      <c r="G445" t="s">
        <v>37</v>
      </c>
      <c r="H445" t="s">
        <v>38</v>
      </c>
      <c r="I445" t="s">
        <v>39</v>
      </c>
      <c r="J445" t="s">
        <v>40</v>
      </c>
      <c r="K445">
        <v>2017</v>
      </c>
      <c r="L445">
        <v>0.54865146839136403</v>
      </c>
      <c r="M445" s="7">
        <v>280.58243640000001</v>
      </c>
      <c r="N445" s="7">
        <f t="shared" si="54"/>
        <v>1.241749869661652E-2</v>
      </c>
      <c r="O445" s="8">
        <v>2.7839407E-2</v>
      </c>
      <c r="P445" s="8">
        <f t="shared" si="55"/>
        <v>1.2320650022592676E-6</v>
      </c>
      <c r="Q445" s="8">
        <v>2.3164650000000002E-3</v>
      </c>
      <c r="R445" s="8">
        <f t="shared" si="56"/>
        <v>1.0251782501899248E-7</v>
      </c>
      <c r="S445" s="8">
        <v>1.4554500000000001E-3</v>
      </c>
      <c r="T445" s="8">
        <f t="shared" si="57"/>
        <v>6.4412615094073347E-8</v>
      </c>
      <c r="U445" s="8">
        <v>1.3867529999999999E-3</v>
      </c>
      <c r="V445" s="8">
        <f t="shared" si="58"/>
        <v>6.1372350283109342E-8</v>
      </c>
      <c r="W445" s="8">
        <v>7.335121E-3</v>
      </c>
      <c r="X445" s="8">
        <f t="shared" si="59"/>
        <v>2.7161040064616203E-12</v>
      </c>
      <c r="Y445" s="8"/>
      <c r="Z445" s="8">
        <f t="shared" si="60"/>
        <v>0</v>
      </c>
      <c r="AA445" s="8">
        <v>7.4993999999999998E-3</v>
      </c>
      <c r="AB445" s="8">
        <f t="shared" si="61"/>
        <v>3.3189457943350413E-7</v>
      </c>
      <c r="AC445" s="8">
        <v>0.48814991800000002</v>
      </c>
      <c r="AD445" s="18">
        <f t="shared" si="62"/>
        <v>2.160363652226972E-5</v>
      </c>
      <c r="AE445" s="9">
        <v>60</v>
      </c>
      <c r="AF445" s="10">
        <v>79.5</v>
      </c>
      <c r="AG445" s="10">
        <v>80</v>
      </c>
      <c r="AH445" s="10">
        <v>81.400000000000006</v>
      </c>
      <c r="AI445" s="10">
        <v>74.8</v>
      </c>
      <c r="AJ445" s="10">
        <v>73.400000000000006</v>
      </c>
      <c r="AK445" s="11">
        <v>22595.729080000001</v>
      </c>
      <c r="AL445" s="11">
        <v>43.064596899999998</v>
      </c>
      <c r="AM445" s="11">
        <v>2317.9936229999998</v>
      </c>
      <c r="AN445" s="11">
        <v>9.4</v>
      </c>
      <c r="AO445" s="11">
        <v>40.841000000000001</v>
      </c>
      <c r="AP445" s="19">
        <v>3.5001690000000001</v>
      </c>
    </row>
    <row r="446" spans="2:42">
      <c r="B446" t="s">
        <v>128</v>
      </c>
      <c r="C446" t="s">
        <v>129</v>
      </c>
      <c r="D446" t="s">
        <v>130</v>
      </c>
      <c r="E446" t="s">
        <v>35</v>
      </c>
      <c r="F446" t="s">
        <v>36</v>
      </c>
      <c r="G446" t="s">
        <v>37</v>
      </c>
      <c r="H446" t="s">
        <v>38</v>
      </c>
      <c r="I446" t="s">
        <v>39</v>
      </c>
      <c r="J446" t="s">
        <v>40</v>
      </c>
      <c r="K446">
        <v>2017</v>
      </c>
      <c r="L446">
        <v>8.3348818960587004E-2</v>
      </c>
      <c r="M446" s="7">
        <v>280.58243640000001</v>
      </c>
      <c r="N446" s="7">
        <f t="shared" si="54"/>
        <v>2.4935976263766021E-2</v>
      </c>
      <c r="O446" s="8">
        <v>1.1298543759999999</v>
      </c>
      <c r="P446" s="8">
        <f t="shared" si="55"/>
        <v>1.0041263545549626E-4</v>
      </c>
      <c r="Q446" s="8">
        <v>0.28337948899999998</v>
      </c>
      <c r="R446" s="8">
        <f t="shared" si="56"/>
        <v>2.5184556460506036E-5</v>
      </c>
      <c r="S446" s="8">
        <v>9.0030306000000004E-2</v>
      </c>
      <c r="T446" s="8">
        <f t="shared" si="57"/>
        <v>8.0011906740845148E-6</v>
      </c>
      <c r="U446" s="8">
        <v>8.1709100000000004E-4</v>
      </c>
      <c r="V446" s="8">
        <f t="shared" si="58"/>
        <v>7.2616668536907895E-8</v>
      </c>
      <c r="W446" s="8">
        <v>2.1390210000000001E-3</v>
      </c>
      <c r="X446" s="8">
        <f t="shared" si="59"/>
        <v>6.4536025355794507E-12</v>
      </c>
      <c r="Y446" s="8"/>
      <c r="Z446" s="8">
        <f t="shared" si="60"/>
        <v>0</v>
      </c>
      <c r="AA446" s="8">
        <v>8.1848400000000005E-3</v>
      </c>
      <c r="AB446" s="8">
        <f t="shared" si="61"/>
        <v>7.2740467500881203E-7</v>
      </c>
      <c r="AC446" s="8">
        <v>0.85836310699999996</v>
      </c>
      <c r="AD446" s="18">
        <f t="shared" si="62"/>
        <v>7.6284611169783297E-5</v>
      </c>
      <c r="AE446" s="9">
        <v>21</v>
      </c>
      <c r="AF446" s="10">
        <v>31</v>
      </c>
      <c r="AG446" s="10">
        <v>33.299999999999997</v>
      </c>
      <c r="AH446" s="10">
        <v>51.4</v>
      </c>
      <c r="AI446" s="10">
        <v>34.799999999999997</v>
      </c>
      <c r="AJ446" s="10">
        <v>45.3</v>
      </c>
      <c r="AK446" s="11">
        <v>11252.11355</v>
      </c>
      <c r="AL446" s="11">
        <v>70.456065699999996</v>
      </c>
      <c r="AM446" s="11">
        <v>2005.670028</v>
      </c>
      <c r="AN446" s="11">
        <v>26.1</v>
      </c>
      <c r="AO446" s="11">
        <v>42.557000000000002</v>
      </c>
      <c r="AP446" s="19">
        <v>1.5715119900000001</v>
      </c>
    </row>
    <row r="447" spans="2:42">
      <c r="B447" t="s">
        <v>131</v>
      </c>
      <c r="C447" t="s">
        <v>132</v>
      </c>
      <c r="D447" t="s">
        <v>133</v>
      </c>
      <c r="E447" t="s">
        <v>35</v>
      </c>
      <c r="F447" t="s">
        <v>36</v>
      </c>
      <c r="G447" t="s">
        <v>37</v>
      </c>
      <c r="H447" t="s">
        <v>38</v>
      </c>
      <c r="I447" t="s">
        <v>39</v>
      </c>
      <c r="J447" t="s">
        <v>40</v>
      </c>
      <c r="K447">
        <v>2017</v>
      </c>
      <c r="L447">
        <v>1.3510877251925799</v>
      </c>
      <c r="M447" s="7">
        <v>12.25567382</v>
      </c>
      <c r="N447" s="7">
        <f t="shared" si="54"/>
        <v>2.1870459871111905E-4</v>
      </c>
      <c r="O447" s="8">
        <v>13.39640453</v>
      </c>
      <c r="P447" s="8">
        <f t="shared" si="55"/>
        <v>2.3906113363789469E-4</v>
      </c>
      <c r="Q447" s="8">
        <v>0.28412667899999999</v>
      </c>
      <c r="R447" s="8">
        <f t="shared" si="56"/>
        <v>5.0702892575691874E-6</v>
      </c>
      <c r="S447" s="8">
        <v>2.3098387790000001</v>
      </c>
      <c r="T447" s="8">
        <f t="shared" si="57"/>
        <v>4.1219468685939308E-5</v>
      </c>
      <c r="U447" s="8">
        <v>2.0301148000000001E-2</v>
      </c>
      <c r="V447" s="8">
        <f t="shared" si="58"/>
        <v>3.6227746364051302E-7</v>
      </c>
      <c r="W447" s="8">
        <v>0.129214315</v>
      </c>
      <c r="X447" s="8">
        <f t="shared" si="59"/>
        <v>6.4649033966849174E-12</v>
      </c>
      <c r="Y447" s="8">
        <v>9.0703787999999994E-2</v>
      </c>
      <c r="Z447" s="8">
        <f t="shared" si="60"/>
        <v>1.6186246343914538E-6</v>
      </c>
      <c r="AA447" s="8">
        <v>7.2012927000000004E-2</v>
      </c>
      <c r="AB447" s="8">
        <f t="shared" si="61"/>
        <v>1.2850830181076172E-6</v>
      </c>
      <c r="AC447" s="8">
        <v>5.3334920370000001</v>
      </c>
      <c r="AD447" s="18">
        <f t="shared" si="62"/>
        <v>9.5177079025837998E-5</v>
      </c>
      <c r="AE447" s="9">
        <v>92.4</v>
      </c>
      <c r="AF447" s="10">
        <v>96.2</v>
      </c>
      <c r="AG447" s="10">
        <v>78.599999999999994</v>
      </c>
      <c r="AH447" s="10">
        <v>98.6</v>
      </c>
      <c r="AI447" s="10">
        <v>95.7</v>
      </c>
      <c r="AJ447" s="10">
        <v>96.6</v>
      </c>
      <c r="AK447" s="11">
        <v>56037.567990000003</v>
      </c>
      <c r="AL447" s="11">
        <v>54.024354000000002</v>
      </c>
      <c r="AM447" s="11">
        <v>6727.9790160000002</v>
      </c>
      <c r="AN447" s="11">
        <v>6.4</v>
      </c>
      <c r="AO447" s="11">
        <v>91.076999999999998</v>
      </c>
      <c r="AP447" s="19">
        <v>23.5201922</v>
      </c>
    </row>
    <row r="448" spans="2:42">
      <c r="B448" t="s">
        <v>134</v>
      </c>
      <c r="C448" t="s">
        <v>135</v>
      </c>
      <c r="D448" t="s">
        <v>136</v>
      </c>
      <c r="E448" t="s">
        <v>35</v>
      </c>
      <c r="F448" t="s">
        <v>36</v>
      </c>
      <c r="G448" t="s">
        <v>37</v>
      </c>
      <c r="H448" t="s">
        <v>38</v>
      </c>
      <c r="I448" t="s">
        <v>39</v>
      </c>
      <c r="J448" t="s">
        <v>40</v>
      </c>
      <c r="K448">
        <v>2017</v>
      </c>
      <c r="L448">
        <v>0.90320333120712604</v>
      </c>
      <c r="M448" s="7">
        <v>87.128442289999995</v>
      </c>
      <c r="N448" s="7">
        <f t="shared" si="54"/>
        <v>1.3489555865334707E-3</v>
      </c>
      <c r="O448" s="8">
        <v>2.832265461</v>
      </c>
      <c r="P448" s="8">
        <f t="shared" si="55"/>
        <v>4.3850207988858397E-5</v>
      </c>
      <c r="Q448" s="8">
        <v>0.186830053</v>
      </c>
      <c r="R448" s="8">
        <f t="shared" si="56"/>
        <v>2.8925737348528282E-6</v>
      </c>
      <c r="S448" s="8">
        <v>4.3500530959999999</v>
      </c>
      <c r="T448" s="8">
        <f t="shared" si="57"/>
        <v>6.7349171766840045E-5</v>
      </c>
      <c r="U448" s="8">
        <v>2.9825792E-2</v>
      </c>
      <c r="V448" s="8">
        <f t="shared" si="58"/>
        <v>4.6177422301744788E-7</v>
      </c>
      <c r="W448" s="8">
        <v>2.0011154999999999E-2</v>
      </c>
      <c r="X448" s="8">
        <f t="shared" si="59"/>
        <v>7.1493636461813888E-12</v>
      </c>
      <c r="Y448" s="8">
        <v>0.123909455</v>
      </c>
      <c r="Z448" s="8">
        <f t="shared" si="60"/>
        <v>1.9184131743137087E-6</v>
      </c>
      <c r="AA448" s="8">
        <v>3.0558163999999999E-2</v>
      </c>
      <c r="AB448" s="8">
        <f t="shared" si="61"/>
        <v>4.7311308406964506E-7</v>
      </c>
      <c r="AC448" s="8">
        <v>0.70674851800000005</v>
      </c>
      <c r="AD448" s="18">
        <f t="shared" si="62"/>
        <v>1.0942148586303519E-5</v>
      </c>
      <c r="AE448" s="9">
        <v>99.5</v>
      </c>
      <c r="AF448" s="10">
        <v>98.6</v>
      </c>
      <c r="AG448" s="10">
        <v>89</v>
      </c>
      <c r="AH448" s="10">
        <v>96.2</v>
      </c>
      <c r="AI448" s="10">
        <v>99.5</v>
      </c>
      <c r="AJ448" s="10">
        <v>100</v>
      </c>
      <c r="AK448" s="11">
        <v>64589.555919999999</v>
      </c>
      <c r="AL448" s="11">
        <v>2.6980277899999998</v>
      </c>
      <c r="AM448" s="11">
        <v>24007.53615</v>
      </c>
      <c r="AN448" s="11">
        <v>58.9</v>
      </c>
      <c r="AO448" s="11">
        <v>81.870999999999995</v>
      </c>
      <c r="AP448" s="19">
        <v>1.4687427799999999</v>
      </c>
    </row>
    <row r="449" spans="2:42">
      <c r="B449" t="s">
        <v>137</v>
      </c>
      <c r="C449" t="s">
        <v>138</v>
      </c>
      <c r="D449" t="s">
        <v>139</v>
      </c>
      <c r="E449" t="s">
        <v>35</v>
      </c>
      <c r="F449" t="s">
        <v>36</v>
      </c>
      <c r="G449" t="s">
        <v>37</v>
      </c>
      <c r="H449" t="s">
        <v>38</v>
      </c>
      <c r="I449" t="s">
        <v>39</v>
      </c>
      <c r="J449" t="s">
        <v>40</v>
      </c>
      <c r="K449">
        <v>2017</v>
      </c>
      <c r="L449">
        <v>0.38852827265140499</v>
      </c>
      <c r="M449" s="7">
        <v>1.11291618</v>
      </c>
      <c r="N449" s="7">
        <f t="shared" si="54"/>
        <v>3.6887828350055955E-5</v>
      </c>
      <c r="O449" s="8">
        <v>19.668585140000001</v>
      </c>
      <c r="P449" s="8">
        <f t="shared" si="55"/>
        <v>6.5191917016857567E-4</v>
      </c>
      <c r="Q449" s="8">
        <v>3.8716747090000001</v>
      </c>
      <c r="R449" s="8">
        <f t="shared" si="56"/>
        <v>1.2832742901881867E-4</v>
      </c>
      <c r="S449" s="8">
        <v>18.706715790000001</v>
      </c>
      <c r="T449" s="8">
        <f t="shared" si="57"/>
        <v>6.2003781906989734E-4</v>
      </c>
      <c r="U449" s="8">
        <v>0.127758818</v>
      </c>
      <c r="V449" s="8">
        <f t="shared" si="58"/>
        <v>4.2345914573638768E-6</v>
      </c>
      <c r="W449" s="8">
        <v>9.6433228999999995E-2</v>
      </c>
      <c r="X449" s="8">
        <f t="shared" si="59"/>
        <v>1.403563768943066E-10</v>
      </c>
      <c r="Y449" s="8">
        <v>2.4122724000000002E-2</v>
      </c>
      <c r="Z449" s="8">
        <f t="shared" si="60"/>
        <v>7.9955248943166161E-7</v>
      </c>
      <c r="AA449" s="8">
        <v>0.219111319</v>
      </c>
      <c r="AB449" s="8">
        <f t="shared" si="61"/>
        <v>7.262488289842595E-6</v>
      </c>
      <c r="AC449" s="8">
        <v>8.6909325109999997</v>
      </c>
      <c r="AD449" s="18">
        <f t="shared" si="62"/>
        <v>2.8806268830388352E-4</v>
      </c>
      <c r="AE449" s="9">
        <v>73.8</v>
      </c>
      <c r="AF449" s="10">
        <v>71.900000000000006</v>
      </c>
      <c r="AG449" s="10">
        <v>64.3</v>
      </c>
      <c r="AH449" s="10">
        <v>76.2</v>
      </c>
      <c r="AI449" s="10">
        <v>64.3</v>
      </c>
      <c r="AJ449" s="10">
        <v>72.400000000000006</v>
      </c>
      <c r="AK449" s="11">
        <v>30170.281900000002</v>
      </c>
      <c r="AL449" s="11">
        <v>47.232110800000001</v>
      </c>
      <c r="AM449" s="11">
        <v>4285.8919219999998</v>
      </c>
      <c r="AN449" s="11">
        <v>11.1</v>
      </c>
      <c r="AO449" s="11">
        <v>60.104999999999997</v>
      </c>
      <c r="AP449" s="19">
        <v>2.3781281600000002</v>
      </c>
    </row>
    <row r="450" spans="2:42">
      <c r="B450" t="s">
        <v>140</v>
      </c>
      <c r="C450" t="s">
        <v>141</v>
      </c>
      <c r="D450" t="s">
        <v>142</v>
      </c>
      <c r="E450" t="s">
        <v>35</v>
      </c>
      <c r="F450" t="s">
        <v>36</v>
      </c>
      <c r="G450" t="s">
        <v>37</v>
      </c>
      <c r="H450" t="s">
        <v>38</v>
      </c>
      <c r="I450" t="s">
        <v>39</v>
      </c>
      <c r="J450" t="s">
        <v>40</v>
      </c>
      <c r="K450">
        <v>2017</v>
      </c>
      <c r="L450">
        <v>0.60500716775088803</v>
      </c>
      <c r="M450" s="7">
        <v>71.154308599999993</v>
      </c>
      <c r="N450" s="7">
        <f t="shared" si="54"/>
        <v>2.1580981738022189E-3</v>
      </c>
      <c r="O450" s="8">
        <v>5.1650471859999998</v>
      </c>
      <c r="P450" s="8">
        <f t="shared" si="55"/>
        <v>1.566550096406796E-4</v>
      </c>
      <c r="Q450" s="8">
        <v>0.286670276</v>
      </c>
      <c r="R450" s="8">
        <f t="shared" si="56"/>
        <v>8.6946611005222821E-6</v>
      </c>
      <c r="S450" s="8">
        <v>0.59733756800000004</v>
      </c>
      <c r="T450" s="8">
        <f t="shared" si="57"/>
        <v>1.8117147647250962E-5</v>
      </c>
      <c r="U450" s="8">
        <v>4.5486134999999997E-2</v>
      </c>
      <c r="V450" s="8">
        <f t="shared" si="58"/>
        <v>1.3795867995662205E-6</v>
      </c>
      <c r="W450" s="8">
        <v>4.7940193999999998E-2</v>
      </c>
      <c r="X450" s="8">
        <f t="shared" si="59"/>
        <v>4.1842634849880455E-11</v>
      </c>
      <c r="Y450" s="8">
        <v>3.3849790000000002E-3</v>
      </c>
      <c r="Z450" s="8">
        <f t="shared" si="60"/>
        <v>1.0266584191443977E-7</v>
      </c>
      <c r="AA450" s="8">
        <v>2.5157164999999999E-2</v>
      </c>
      <c r="AB450" s="8">
        <f t="shared" si="61"/>
        <v>7.630125696216954E-7</v>
      </c>
      <c r="AC450" s="8">
        <v>3.3504322059999998</v>
      </c>
      <c r="AD450" s="18">
        <f t="shared" si="62"/>
        <v>1.016180434815825E-4</v>
      </c>
      <c r="AE450" s="9">
        <v>79.5</v>
      </c>
      <c r="AF450" s="10">
        <v>86.7</v>
      </c>
      <c r="AG450" s="10">
        <v>88.6</v>
      </c>
      <c r="AH450" s="10">
        <v>79</v>
      </c>
      <c r="AI450" s="10">
        <v>83.3</v>
      </c>
      <c r="AJ450" s="10">
        <v>88.7</v>
      </c>
      <c r="AK450" s="11">
        <v>32970.839540000001</v>
      </c>
      <c r="AL450" s="11">
        <v>40.100090000000002</v>
      </c>
      <c r="AM450" s="11">
        <v>5014.1258019999996</v>
      </c>
      <c r="AN450" s="11">
        <v>24.4</v>
      </c>
      <c r="AO450" s="11">
        <v>64.652000000000001</v>
      </c>
      <c r="AP450" s="19">
        <v>5.0204155200000002</v>
      </c>
    </row>
    <row r="451" spans="2:42">
      <c r="B451" t="s">
        <v>143</v>
      </c>
      <c r="C451" t="s">
        <v>144</v>
      </c>
      <c r="D451" t="s">
        <v>145</v>
      </c>
      <c r="E451" t="s">
        <v>35</v>
      </c>
      <c r="F451" t="s">
        <v>36</v>
      </c>
      <c r="G451" t="s">
        <v>37</v>
      </c>
      <c r="H451" t="s">
        <v>38</v>
      </c>
      <c r="I451" t="s">
        <v>39</v>
      </c>
      <c r="J451" t="s">
        <v>40</v>
      </c>
      <c r="K451">
        <v>2017</v>
      </c>
      <c r="L451">
        <v>0.49749637397646401</v>
      </c>
      <c r="M451" s="7">
        <v>11.129590909999999</v>
      </c>
      <c r="N451" s="7">
        <f t="shared" ref="N451:N514" si="63">M451/AK451</f>
        <v>4.1307876423627706E-4</v>
      </c>
      <c r="O451" s="8">
        <v>9.4881925299999992</v>
      </c>
      <c r="P451" s="8">
        <f t="shared" ref="P451:P514" si="64">O451/AK451</f>
        <v>3.521576737925469E-4</v>
      </c>
      <c r="Q451" s="8">
        <v>1.154499701</v>
      </c>
      <c r="R451" s="8">
        <f t="shared" ref="R451:R514" si="65">Q451/AK451</f>
        <v>4.2849671084651881E-5</v>
      </c>
      <c r="S451" s="8">
        <v>3.4016911869999999</v>
      </c>
      <c r="T451" s="8">
        <f t="shared" ref="T451:T514" si="66">S451/AK451</f>
        <v>1.2625499025097542E-4</v>
      </c>
      <c r="U451" s="8">
        <v>2.3112300999999998E-2</v>
      </c>
      <c r="V451" s="8">
        <f t="shared" ref="V451:V514" si="67">U451/AK451</f>
        <v>8.5782135326812926E-7</v>
      </c>
      <c r="W451" s="8">
        <v>1.8480909E-2</v>
      </c>
      <c r="X451" s="8">
        <f t="shared" ref="X451:X514" si="68">V451/AK451</f>
        <v>3.1838347645384362E-11</v>
      </c>
      <c r="Y451" s="8">
        <v>4.4109721999999997E-2</v>
      </c>
      <c r="Z451" s="8">
        <f t="shared" ref="Z451:Z514" si="69">Y451/AK451</f>
        <v>1.6371481756974771E-6</v>
      </c>
      <c r="AA451" s="8">
        <v>2.5792226000000001E-2</v>
      </c>
      <c r="AB451" s="8">
        <f t="shared" ref="AB451:AB514" si="70">AA451/AK451</f>
        <v>9.5728773223909781E-7</v>
      </c>
      <c r="AC451" s="8">
        <v>8.0923077459999995</v>
      </c>
      <c r="AD451" s="18">
        <f t="shared" ref="AD451:AD514" si="71">AC451/AK451</f>
        <v>3.003489086498088E-4</v>
      </c>
      <c r="AE451" s="9">
        <v>51.4</v>
      </c>
      <c r="AF451" s="10">
        <v>49</v>
      </c>
      <c r="AG451" s="10">
        <v>48.6</v>
      </c>
      <c r="AH451" s="10">
        <v>68.599999999999994</v>
      </c>
      <c r="AI451" s="10">
        <v>67.099999999999994</v>
      </c>
      <c r="AJ451" s="10">
        <v>67.5</v>
      </c>
      <c r="AK451" s="11">
        <v>26943.023639999999</v>
      </c>
      <c r="AL451" s="11">
        <v>58.144993100000001</v>
      </c>
      <c r="AM451" s="11">
        <v>2777.5686150000001</v>
      </c>
      <c r="AN451" s="11">
        <v>23.4</v>
      </c>
      <c r="AO451" s="11">
        <v>53.936</v>
      </c>
      <c r="AP451" s="19">
        <v>2.8327307400000001</v>
      </c>
    </row>
    <row r="452" spans="2:42">
      <c r="B452" t="s">
        <v>146</v>
      </c>
      <c r="C452" t="s">
        <v>147</v>
      </c>
      <c r="D452" t="s">
        <v>148</v>
      </c>
      <c r="E452" t="s">
        <v>35</v>
      </c>
      <c r="F452" t="s">
        <v>36</v>
      </c>
      <c r="G452" t="s">
        <v>37</v>
      </c>
      <c r="H452" t="s">
        <v>38</v>
      </c>
      <c r="I452" t="s">
        <v>39</v>
      </c>
      <c r="J452" t="s">
        <v>40</v>
      </c>
      <c r="K452">
        <v>2017</v>
      </c>
      <c r="L452">
        <v>0.78221851689129596</v>
      </c>
      <c r="M452" s="7">
        <v>1.219126275</v>
      </c>
      <c r="N452" s="7">
        <f t="shared" si="63"/>
        <v>4.030731462716634E-5</v>
      </c>
      <c r="O452" s="8">
        <v>1.620371998</v>
      </c>
      <c r="P452" s="8">
        <f t="shared" si="64"/>
        <v>5.3573485598475964E-5</v>
      </c>
      <c r="Q452" s="8">
        <v>4.4643357000000002E-2</v>
      </c>
      <c r="R452" s="8">
        <f t="shared" si="65"/>
        <v>1.4760192389520183E-6</v>
      </c>
      <c r="S452" s="8">
        <v>0.68820883899999996</v>
      </c>
      <c r="T452" s="8">
        <f t="shared" si="66"/>
        <v>2.2753877733272431E-5</v>
      </c>
      <c r="U452" s="8">
        <v>2.4390960999999999E-2</v>
      </c>
      <c r="V452" s="8">
        <f t="shared" si="67"/>
        <v>8.0642519093105737E-7</v>
      </c>
      <c r="W452" s="8">
        <v>2.0187573E-2</v>
      </c>
      <c r="X452" s="8">
        <f t="shared" si="68"/>
        <v>2.6662401230037321E-11</v>
      </c>
      <c r="Y452" s="8">
        <v>1.5325907999999999E-2</v>
      </c>
      <c r="Z452" s="8">
        <f t="shared" si="69"/>
        <v>5.0671223184243616E-7</v>
      </c>
      <c r="AA452" s="8">
        <v>7.2208699999999999E-3</v>
      </c>
      <c r="AB452" s="8">
        <f t="shared" si="70"/>
        <v>2.3873973101914041E-7</v>
      </c>
      <c r="AC452" s="8">
        <v>3.6279818210000001</v>
      </c>
      <c r="AD452" s="18">
        <f t="shared" si="71"/>
        <v>1.1995000659032377E-4</v>
      </c>
      <c r="AE452" s="9">
        <v>59</v>
      </c>
      <c r="AF452" s="10">
        <v>73.3</v>
      </c>
      <c r="AG452" s="10">
        <v>78.099999999999994</v>
      </c>
      <c r="AH452" s="10">
        <v>76.7</v>
      </c>
      <c r="AI452" s="10">
        <v>68.599999999999994</v>
      </c>
      <c r="AJ452" s="10">
        <v>76.400000000000006</v>
      </c>
      <c r="AK452" s="11">
        <v>30245.782589999999</v>
      </c>
      <c r="AL452" s="11">
        <v>39.0806988</v>
      </c>
      <c r="AM452" s="11">
        <v>5424.1113450000003</v>
      </c>
      <c r="AN452" s="11">
        <v>12.4</v>
      </c>
      <c r="AO452" s="11">
        <v>53.750999999999998</v>
      </c>
      <c r="AP452" s="19">
        <v>4.3998642500000003</v>
      </c>
    </row>
    <row r="453" spans="2:42">
      <c r="B453" t="s">
        <v>149</v>
      </c>
      <c r="C453" t="s">
        <v>150</v>
      </c>
      <c r="D453" t="s">
        <v>151</v>
      </c>
      <c r="E453" t="s">
        <v>35</v>
      </c>
      <c r="F453" t="s">
        <v>36</v>
      </c>
      <c r="G453" t="s">
        <v>37</v>
      </c>
      <c r="H453" t="s">
        <v>38</v>
      </c>
      <c r="I453" t="s">
        <v>39</v>
      </c>
      <c r="J453" t="s">
        <v>40</v>
      </c>
      <c r="K453">
        <v>2017</v>
      </c>
      <c r="L453">
        <v>0.45200679821349299</v>
      </c>
      <c r="M453" s="7">
        <v>69.857878909999997</v>
      </c>
      <c r="N453" s="7">
        <f t="shared" si="63"/>
        <v>1.9308403722826889E-3</v>
      </c>
      <c r="O453" s="8">
        <v>1.623831936</v>
      </c>
      <c r="P453" s="8">
        <f t="shared" si="64"/>
        <v>4.4881984806182538E-5</v>
      </c>
      <c r="Q453" s="8">
        <v>0.175320056</v>
      </c>
      <c r="R453" s="8">
        <f t="shared" si="65"/>
        <v>4.8457675422951355E-6</v>
      </c>
      <c r="S453" s="8">
        <v>1.081271686</v>
      </c>
      <c r="T453" s="8">
        <f t="shared" si="66"/>
        <v>2.9885863374476319E-5</v>
      </c>
      <c r="U453" s="8">
        <v>5.3641670000000004E-3</v>
      </c>
      <c r="V453" s="8">
        <f t="shared" si="67"/>
        <v>1.4826316471203198E-7</v>
      </c>
      <c r="W453" s="8">
        <v>4.2298630000000004E-3</v>
      </c>
      <c r="X453" s="8">
        <f t="shared" si="68"/>
        <v>4.0979272290417366E-12</v>
      </c>
      <c r="Y453" s="8">
        <v>6.4400000000000004E-3</v>
      </c>
      <c r="Z453" s="8">
        <f t="shared" si="69"/>
        <v>1.7799870525013221E-7</v>
      </c>
      <c r="AA453" s="8">
        <v>6.5869709999999996E-3</v>
      </c>
      <c r="AB453" s="8">
        <f t="shared" si="70"/>
        <v>1.8206091762735537E-7</v>
      </c>
      <c r="AC453" s="8">
        <v>0.45020338999999998</v>
      </c>
      <c r="AD453" s="18">
        <f t="shared" si="71"/>
        <v>1.2443419335282658E-5</v>
      </c>
      <c r="AE453" s="9">
        <v>78.099999999999994</v>
      </c>
      <c r="AF453" s="10">
        <v>83.8</v>
      </c>
      <c r="AG453" s="10">
        <v>76.7</v>
      </c>
      <c r="AH453" s="10">
        <v>71.400000000000006</v>
      </c>
      <c r="AI453" s="10">
        <v>81.400000000000006</v>
      </c>
      <c r="AJ453" s="10">
        <v>80.8</v>
      </c>
      <c r="AK453" s="11">
        <v>36180.03845</v>
      </c>
      <c r="AL453" s="11">
        <v>30.541113599999999</v>
      </c>
      <c r="AM453" s="11">
        <v>7218.8766100000003</v>
      </c>
      <c r="AN453" s="11">
        <v>19.7</v>
      </c>
      <c r="AO453" s="11">
        <v>54.273000000000003</v>
      </c>
      <c r="AP453" s="19">
        <v>2.4842141400000002</v>
      </c>
    </row>
    <row r="454" spans="2:42">
      <c r="B454" t="s">
        <v>152</v>
      </c>
      <c r="C454" t="s">
        <v>153</v>
      </c>
      <c r="D454" t="s">
        <v>154</v>
      </c>
      <c r="E454" t="s">
        <v>35</v>
      </c>
      <c r="F454" t="s">
        <v>36</v>
      </c>
      <c r="G454" t="s">
        <v>37</v>
      </c>
      <c r="H454" t="s">
        <v>38</v>
      </c>
      <c r="I454" t="s">
        <v>39</v>
      </c>
      <c r="J454" t="s">
        <v>40</v>
      </c>
      <c r="K454">
        <v>2017</v>
      </c>
      <c r="L454">
        <v>0.84355610409797299</v>
      </c>
      <c r="M454" s="7">
        <v>1.219126275</v>
      </c>
      <c r="N454" s="7">
        <f t="shared" si="63"/>
        <v>3.0611892726756507E-5</v>
      </c>
      <c r="O454" s="8">
        <v>27.58791476</v>
      </c>
      <c r="P454" s="8">
        <f t="shared" si="64"/>
        <v>6.9272421118806782E-4</v>
      </c>
      <c r="Q454" s="8">
        <v>0.83429230600000004</v>
      </c>
      <c r="R454" s="8">
        <f t="shared" si="65"/>
        <v>2.0948827941576697E-5</v>
      </c>
      <c r="S454" s="8">
        <v>1.2289084729999999</v>
      </c>
      <c r="T454" s="8">
        <f t="shared" si="66"/>
        <v>3.0857520765417137E-5</v>
      </c>
      <c r="U454" s="8">
        <v>9.6529696999999998E-2</v>
      </c>
      <c r="V454" s="8">
        <f t="shared" si="67"/>
        <v>2.423831550599883E-6</v>
      </c>
      <c r="W454" s="8">
        <v>0.12575620100000001</v>
      </c>
      <c r="X454" s="8">
        <f t="shared" si="68"/>
        <v>6.0861678512089742E-11</v>
      </c>
      <c r="Y454" s="8">
        <v>4.3418065999999998E-2</v>
      </c>
      <c r="Z454" s="8">
        <f t="shared" si="69"/>
        <v>1.090214529906046E-6</v>
      </c>
      <c r="AA454" s="8">
        <v>0.14711571100000001</v>
      </c>
      <c r="AB454" s="8">
        <f t="shared" si="70"/>
        <v>3.6940310908749076E-6</v>
      </c>
      <c r="AC454" s="8">
        <v>15.088164750000001</v>
      </c>
      <c r="AD454" s="18">
        <f t="shared" si="71"/>
        <v>3.7885926195022654E-4</v>
      </c>
      <c r="AE454" s="9">
        <v>67.099999999999994</v>
      </c>
      <c r="AF454" s="10">
        <v>80.5</v>
      </c>
      <c r="AG454" s="10">
        <v>57.1</v>
      </c>
      <c r="AH454" s="10">
        <v>79.5</v>
      </c>
      <c r="AI454" s="10">
        <v>81.900000000000006</v>
      </c>
      <c r="AJ454" s="10">
        <v>82.3</v>
      </c>
      <c r="AK454" s="11">
        <v>39825.249810000001</v>
      </c>
      <c r="AL454" s="11">
        <v>52.638713799999998</v>
      </c>
      <c r="AM454" s="11">
        <v>5605.8641520000001</v>
      </c>
      <c r="AN454" s="11">
        <v>15.2</v>
      </c>
      <c r="AO454" s="11">
        <v>80.08</v>
      </c>
      <c r="AP454" s="19">
        <v>2.5403921199999999</v>
      </c>
    </row>
    <row r="455" spans="2:42">
      <c r="B455" t="s">
        <v>155</v>
      </c>
      <c r="C455" t="s">
        <v>156</v>
      </c>
      <c r="D455" t="s">
        <v>157</v>
      </c>
      <c r="E455" t="s">
        <v>35</v>
      </c>
      <c r="F455" t="s">
        <v>36</v>
      </c>
      <c r="G455" t="s">
        <v>37</v>
      </c>
      <c r="H455" t="s">
        <v>38</v>
      </c>
      <c r="I455" t="s">
        <v>39</v>
      </c>
      <c r="J455" t="s">
        <v>40</v>
      </c>
      <c r="K455">
        <v>2017</v>
      </c>
      <c r="L455">
        <v>0.46639052092779099</v>
      </c>
      <c r="M455" s="7">
        <v>56.430151420000001</v>
      </c>
      <c r="N455" s="7">
        <f t="shared" si="63"/>
        <v>1.0962820057664974E-3</v>
      </c>
      <c r="O455" s="8">
        <v>4.0453492119999996</v>
      </c>
      <c r="P455" s="8">
        <f t="shared" si="64"/>
        <v>7.8589963637515245E-5</v>
      </c>
      <c r="Q455" s="8">
        <v>0.392679271</v>
      </c>
      <c r="R455" s="8">
        <f t="shared" si="65"/>
        <v>7.6286738206807737E-6</v>
      </c>
      <c r="S455" s="8">
        <v>0.152316745</v>
      </c>
      <c r="T455" s="8">
        <f t="shared" si="66"/>
        <v>2.9590937206176313E-6</v>
      </c>
      <c r="U455" s="8">
        <v>0.16993049800000001</v>
      </c>
      <c r="V455" s="8">
        <f t="shared" si="67"/>
        <v>3.3012802996363071E-6</v>
      </c>
      <c r="W455" s="8">
        <v>0.21094444700000001</v>
      </c>
      <c r="X455" s="8">
        <f t="shared" si="68"/>
        <v>6.4134759475410854E-11</v>
      </c>
      <c r="Y455" s="8">
        <v>1.1267927E-2</v>
      </c>
      <c r="Z455" s="8">
        <f t="shared" si="69"/>
        <v>2.1890470433882938E-7</v>
      </c>
      <c r="AA455" s="8">
        <v>8.2548389E-2</v>
      </c>
      <c r="AB455" s="8">
        <f t="shared" si="70"/>
        <v>1.6036872343681028E-6</v>
      </c>
      <c r="AC455" s="8">
        <v>3.1128240690000002</v>
      </c>
      <c r="AD455" s="18">
        <f t="shared" si="71"/>
        <v>6.0473575350926287E-5</v>
      </c>
      <c r="AE455" s="9">
        <v>98.1</v>
      </c>
      <c r="AF455" s="10">
        <v>94.3</v>
      </c>
      <c r="AG455" s="10">
        <v>80.5</v>
      </c>
      <c r="AH455" s="10">
        <v>95.7</v>
      </c>
      <c r="AI455" s="10">
        <v>98.1</v>
      </c>
      <c r="AJ455" s="10">
        <v>99.5</v>
      </c>
      <c r="AK455" s="11">
        <v>51474.119910000001</v>
      </c>
      <c r="AL455" s="11">
        <v>7.3933005999999999</v>
      </c>
      <c r="AM455" s="11">
        <v>13498.41683</v>
      </c>
      <c r="AN455" s="11">
        <v>51.8</v>
      </c>
      <c r="AO455" s="11">
        <v>87.146000000000001</v>
      </c>
      <c r="AP455" s="19">
        <v>4.5338440699999998</v>
      </c>
    </row>
    <row r="456" spans="2:42">
      <c r="B456" t="s">
        <v>158</v>
      </c>
      <c r="C456" t="s">
        <v>159</v>
      </c>
      <c r="D456" t="s">
        <v>160</v>
      </c>
      <c r="E456" t="s">
        <v>35</v>
      </c>
      <c r="F456" t="s">
        <v>36</v>
      </c>
      <c r="G456" t="s">
        <v>37</v>
      </c>
      <c r="H456" t="s">
        <v>38</v>
      </c>
      <c r="I456" t="s">
        <v>39</v>
      </c>
      <c r="J456" t="s">
        <v>40</v>
      </c>
      <c r="K456">
        <v>2017</v>
      </c>
      <c r="L456">
        <v>0.57790957028906598</v>
      </c>
      <c r="M456" s="7">
        <v>69.857878909999997</v>
      </c>
      <c r="N456" s="7">
        <f t="shared" si="63"/>
        <v>1.0244066250238947E-3</v>
      </c>
      <c r="O456" s="8">
        <v>4.1699768979999998</v>
      </c>
      <c r="P456" s="8">
        <f t="shared" si="64"/>
        <v>6.1149179264535298E-5</v>
      </c>
      <c r="Q456" s="8">
        <v>0.272781365</v>
      </c>
      <c r="R456" s="8">
        <f t="shared" si="65"/>
        <v>4.0001076735964292E-6</v>
      </c>
      <c r="S456" s="8">
        <v>0.78108573000000003</v>
      </c>
      <c r="T456" s="8">
        <f t="shared" si="66"/>
        <v>1.1453960655668941E-5</v>
      </c>
      <c r="U456" s="8">
        <v>1.9701809000000001E-2</v>
      </c>
      <c r="V456" s="8">
        <f t="shared" si="67"/>
        <v>2.8891034167466389E-7</v>
      </c>
      <c r="W456" s="8">
        <v>4.5490635000000001E-2</v>
      </c>
      <c r="X456" s="8">
        <f t="shared" si="68"/>
        <v>4.2366254553869153E-12</v>
      </c>
      <c r="Y456" s="8">
        <v>2.90332E-3</v>
      </c>
      <c r="Z456" s="8">
        <f t="shared" si="69"/>
        <v>4.2574728705921627E-8</v>
      </c>
      <c r="AA456" s="8">
        <v>2.6574873999999998E-2</v>
      </c>
      <c r="AB456" s="8">
        <f t="shared" si="70"/>
        <v>3.8969801845612964E-7</v>
      </c>
      <c r="AC456" s="8">
        <v>0.23437624800000001</v>
      </c>
      <c r="AD456" s="18">
        <f t="shared" si="71"/>
        <v>3.4369291616879321E-6</v>
      </c>
      <c r="AE456" s="9">
        <v>96.7</v>
      </c>
      <c r="AF456" s="10">
        <v>99.5</v>
      </c>
      <c r="AG456" s="10">
        <v>93.8</v>
      </c>
      <c r="AH456" s="10">
        <v>97.1</v>
      </c>
      <c r="AI456" s="10">
        <v>99</v>
      </c>
      <c r="AJ456" s="10">
        <v>98</v>
      </c>
      <c r="AK456" s="11">
        <v>68193.505590000001</v>
      </c>
      <c r="AL456" s="11">
        <v>38.259882500000003</v>
      </c>
      <c r="AM456" s="11">
        <v>7582.135961</v>
      </c>
      <c r="AN456" s="11">
        <v>25</v>
      </c>
      <c r="AO456" s="11">
        <v>73.760999999999996</v>
      </c>
      <c r="AP456" s="19">
        <v>20.603537800000002</v>
      </c>
    </row>
    <row r="457" spans="2:42">
      <c r="B457" t="s">
        <v>161</v>
      </c>
      <c r="C457" t="s">
        <v>162</v>
      </c>
      <c r="D457" t="s">
        <v>163</v>
      </c>
      <c r="E457" t="s">
        <v>35</v>
      </c>
      <c r="F457" t="s">
        <v>36</v>
      </c>
      <c r="G457" t="s">
        <v>37</v>
      </c>
      <c r="H457" t="s">
        <v>38</v>
      </c>
      <c r="I457" t="s">
        <v>39</v>
      </c>
      <c r="J457" t="s">
        <v>40</v>
      </c>
      <c r="K457">
        <v>2017</v>
      </c>
      <c r="L457">
        <v>0.37658249375577002</v>
      </c>
      <c r="M457" s="7">
        <v>74.027403730000003</v>
      </c>
      <c r="N457" s="7">
        <f t="shared" si="63"/>
        <v>2.6257207664307971E-3</v>
      </c>
      <c r="O457" s="8">
        <v>39.632591939999998</v>
      </c>
      <c r="P457" s="8">
        <f t="shared" si="64"/>
        <v>1.4057513088516339E-3</v>
      </c>
      <c r="Q457" s="8">
        <v>1.6701734539999999</v>
      </c>
      <c r="R457" s="8">
        <f t="shared" si="65"/>
        <v>5.924034750298883E-5</v>
      </c>
      <c r="S457" s="8">
        <v>7.8257517239999999</v>
      </c>
      <c r="T457" s="8">
        <f t="shared" si="66"/>
        <v>2.7757611072764301E-4</v>
      </c>
      <c r="U457" s="8">
        <v>7.9609347999999996E-2</v>
      </c>
      <c r="V457" s="8">
        <f t="shared" si="67"/>
        <v>2.8237099737823809E-6</v>
      </c>
      <c r="W457" s="8">
        <v>0.103651748</v>
      </c>
      <c r="X457" s="8">
        <f t="shared" si="68"/>
        <v>1.0015580100012996E-10</v>
      </c>
      <c r="Y457" s="8">
        <v>1.6867164E-2</v>
      </c>
      <c r="Z457" s="8">
        <f t="shared" si="69"/>
        <v>5.9827118815522921E-7</v>
      </c>
      <c r="AA457" s="8">
        <v>0.29841015100000001</v>
      </c>
      <c r="AB457" s="8">
        <f t="shared" si="70"/>
        <v>1.0584482109520687E-5</v>
      </c>
      <c r="AC457" s="8">
        <v>52.888095049999997</v>
      </c>
      <c r="AD457" s="18">
        <f t="shared" si="71"/>
        <v>1.8759184095696346E-3</v>
      </c>
      <c r="AE457" s="9">
        <v>48.1</v>
      </c>
      <c r="AF457" s="10">
        <v>54.3</v>
      </c>
      <c r="AG457" s="10">
        <v>7.1</v>
      </c>
      <c r="AH457" s="10">
        <v>56.2</v>
      </c>
      <c r="AI457" s="10">
        <v>41.4</v>
      </c>
      <c r="AJ457" s="10">
        <v>27.6</v>
      </c>
      <c r="AK457" s="11">
        <v>28193.174490000001</v>
      </c>
      <c r="AL457" s="11">
        <v>49.327598999999999</v>
      </c>
      <c r="AM457" s="11">
        <v>3262.7841739999999</v>
      </c>
      <c r="AN457" s="11">
        <v>11.4</v>
      </c>
      <c r="AO457" s="11">
        <v>74.644000000000005</v>
      </c>
      <c r="AP457" s="19">
        <v>1.3026949800000001</v>
      </c>
    </row>
    <row r="458" spans="2:42">
      <c r="B458" t="s">
        <v>164</v>
      </c>
      <c r="C458" t="s">
        <v>165</v>
      </c>
      <c r="D458" t="s">
        <v>166</v>
      </c>
      <c r="E458" t="s">
        <v>35</v>
      </c>
      <c r="F458" t="s">
        <v>36</v>
      </c>
      <c r="G458" t="s">
        <v>37</v>
      </c>
      <c r="H458" t="s">
        <v>38</v>
      </c>
      <c r="I458" t="s">
        <v>39</v>
      </c>
      <c r="J458" t="s">
        <v>40</v>
      </c>
      <c r="K458">
        <v>2017</v>
      </c>
      <c r="L458">
        <v>9.8984278992316099E-2</v>
      </c>
      <c r="M458" s="7">
        <v>45.355190749999998</v>
      </c>
      <c r="N458" s="7">
        <f t="shared" si="63"/>
        <v>2.1017648065562552E-2</v>
      </c>
      <c r="O458" s="8">
        <v>18.27739536</v>
      </c>
      <c r="P458" s="8">
        <f t="shared" si="64"/>
        <v>8.4697662357781159E-3</v>
      </c>
      <c r="Q458" s="8">
        <v>3.4296887059999999</v>
      </c>
      <c r="R458" s="8">
        <f t="shared" si="65"/>
        <v>1.589321729335746E-3</v>
      </c>
      <c r="S458" s="8">
        <v>5.3070970800000001</v>
      </c>
      <c r="T458" s="8">
        <f t="shared" si="66"/>
        <v>2.4593149501243067E-3</v>
      </c>
      <c r="U458" s="8">
        <v>0.110158562</v>
      </c>
      <c r="V458" s="8">
        <f t="shared" si="67"/>
        <v>5.104760556043858E-5</v>
      </c>
      <c r="W458" s="8">
        <v>2.1450950000000001E-3</v>
      </c>
      <c r="X458" s="8">
        <f t="shared" si="68"/>
        <v>2.3655519699450323E-8</v>
      </c>
      <c r="Y458" s="8"/>
      <c r="Z458" s="8">
        <f t="shared" si="69"/>
        <v>0</v>
      </c>
      <c r="AA458" s="8">
        <v>2.1012723000000001E-2</v>
      </c>
      <c r="AB458" s="8">
        <f t="shared" si="70"/>
        <v>9.7373202407521954E-6</v>
      </c>
      <c r="AC458" s="8">
        <v>3.1192576669999998</v>
      </c>
      <c r="AD458" s="18">
        <f t="shared" si="71"/>
        <v>1.4454676253525336E-3</v>
      </c>
      <c r="AE458" s="9">
        <v>13.8</v>
      </c>
      <c r="AF458" s="10">
        <v>30</v>
      </c>
      <c r="AG458" s="10">
        <v>26.7</v>
      </c>
      <c r="AH458" s="10">
        <v>41.9</v>
      </c>
      <c r="AI458" s="10">
        <v>41</v>
      </c>
      <c r="AJ458" s="10">
        <v>31</v>
      </c>
      <c r="AK458" s="11">
        <v>2157.9574750000002</v>
      </c>
      <c r="AL458" s="11">
        <v>71.888091000000003</v>
      </c>
      <c r="AM458" s="11">
        <v>69.317597250000006</v>
      </c>
      <c r="AN458" s="11">
        <v>91.3</v>
      </c>
      <c r="AO458" s="11">
        <v>23.196000000000002</v>
      </c>
      <c r="AP458" s="19">
        <v>2.61088918</v>
      </c>
    </row>
    <row r="459" spans="2:42">
      <c r="B459" t="s">
        <v>167</v>
      </c>
      <c r="C459" t="s">
        <v>168</v>
      </c>
      <c r="D459" t="s">
        <v>169</v>
      </c>
      <c r="E459" t="s">
        <v>35</v>
      </c>
      <c r="F459" t="s">
        <v>36</v>
      </c>
      <c r="G459" t="s">
        <v>37</v>
      </c>
      <c r="H459" t="s">
        <v>38</v>
      </c>
      <c r="I459" t="s">
        <v>39</v>
      </c>
      <c r="J459" t="s">
        <v>40</v>
      </c>
      <c r="K459">
        <v>2017</v>
      </c>
      <c r="L459">
        <v>0.246372681801725</v>
      </c>
      <c r="M459" s="7">
        <v>49878.733809999998</v>
      </c>
      <c r="N459" s="7">
        <f t="shared" si="63"/>
        <v>4.323715618312165</v>
      </c>
      <c r="O459" s="8">
        <v>13.65594757</v>
      </c>
      <c r="P459" s="8">
        <f t="shared" si="64"/>
        <v>1.183759676341733E-3</v>
      </c>
      <c r="Q459" s="8">
        <v>0.76886312599999995</v>
      </c>
      <c r="R459" s="8">
        <f t="shared" si="65"/>
        <v>6.6648554449953346E-5</v>
      </c>
      <c r="S459" s="8">
        <v>39.105920480000002</v>
      </c>
      <c r="T459" s="8">
        <f t="shared" si="66"/>
        <v>3.3898791375083135E-3</v>
      </c>
      <c r="U459" s="8">
        <v>3.9131363000000002E-2</v>
      </c>
      <c r="V459" s="8">
        <f t="shared" si="67"/>
        <v>3.3920846109173269E-6</v>
      </c>
      <c r="W459" s="8">
        <v>5.3381481000000001E-2</v>
      </c>
      <c r="X459" s="8">
        <f t="shared" si="68"/>
        <v>2.9404132965218087E-10</v>
      </c>
      <c r="Y459" s="8">
        <v>0.11389513800000001</v>
      </c>
      <c r="Z459" s="8">
        <f t="shared" si="69"/>
        <v>9.8729488382018609E-6</v>
      </c>
      <c r="AA459" s="8">
        <v>0.10192003600000001</v>
      </c>
      <c r="AB459" s="8">
        <f t="shared" si="70"/>
        <v>8.8348925045043791E-6</v>
      </c>
      <c r="AC459" s="8">
        <v>8.6582484470000001</v>
      </c>
      <c r="AD459" s="18">
        <f t="shared" si="71"/>
        <v>7.5053637448221639E-4</v>
      </c>
      <c r="AE459" s="9">
        <v>21.4</v>
      </c>
      <c r="AF459" s="10">
        <v>33.299999999999997</v>
      </c>
      <c r="AG459" s="10">
        <v>6.7</v>
      </c>
      <c r="AH459" s="10">
        <v>40.5</v>
      </c>
      <c r="AI459" s="10">
        <v>23.3</v>
      </c>
      <c r="AJ459" s="10">
        <v>47.3</v>
      </c>
      <c r="AK459" s="11">
        <v>11536.081050000001</v>
      </c>
      <c r="AL459" s="11">
        <v>71.619195599999998</v>
      </c>
      <c r="AM459" s="11">
        <v>2950.7852590000002</v>
      </c>
      <c r="AN459" s="11">
        <v>6.5</v>
      </c>
      <c r="AO459" s="11">
        <v>69.245999999999995</v>
      </c>
      <c r="AP459" s="19">
        <v>3.2830613099999999</v>
      </c>
    </row>
    <row r="460" spans="2:42">
      <c r="B460" t="s">
        <v>170</v>
      </c>
      <c r="C460" t="s">
        <v>171</v>
      </c>
      <c r="D460" t="s">
        <v>172</v>
      </c>
      <c r="E460" t="s">
        <v>35</v>
      </c>
      <c r="F460" t="s">
        <v>36</v>
      </c>
      <c r="G460" t="s">
        <v>37</v>
      </c>
      <c r="H460" t="s">
        <v>38</v>
      </c>
      <c r="I460" t="s">
        <v>39</v>
      </c>
      <c r="J460" t="s">
        <v>40</v>
      </c>
      <c r="K460">
        <v>2017</v>
      </c>
      <c r="L460">
        <v>0.71220703595319901</v>
      </c>
      <c r="M460" s="7">
        <v>291.94914199999999</v>
      </c>
      <c r="N460" s="7">
        <f t="shared" si="63"/>
        <v>6.3311649202879589E-3</v>
      </c>
      <c r="O460" s="8">
        <v>33.243613349999997</v>
      </c>
      <c r="P460" s="8">
        <f t="shared" si="64"/>
        <v>7.2091596921061154E-4</v>
      </c>
      <c r="Q460" s="8">
        <v>0.76696881100000003</v>
      </c>
      <c r="R460" s="8">
        <f t="shared" si="65"/>
        <v>1.6632369589762884E-5</v>
      </c>
      <c r="S460" s="8">
        <v>4.2325387460000004</v>
      </c>
      <c r="T460" s="8">
        <f t="shared" si="66"/>
        <v>9.1786194844973332E-5</v>
      </c>
      <c r="U460" s="8">
        <v>6.9911254000000006E-2</v>
      </c>
      <c r="V460" s="8">
        <f t="shared" si="67"/>
        <v>1.5160848763793979E-6</v>
      </c>
      <c r="W460" s="8">
        <v>0.31600217000000003</v>
      </c>
      <c r="X460" s="8">
        <f t="shared" si="68"/>
        <v>3.2877587239192331E-11</v>
      </c>
      <c r="Y460" s="8">
        <v>6.5280842000000006E-2</v>
      </c>
      <c r="Z460" s="8">
        <f t="shared" si="69"/>
        <v>1.415670462348065E-6</v>
      </c>
      <c r="AA460" s="8">
        <v>0.14128460600000001</v>
      </c>
      <c r="AB460" s="8">
        <f t="shared" si="70"/>
        <v>3.063876588765264E-6</v>
      </c>
      <c r="AC460" s="8">
        <v>9.6604160290000003</v>
      </c>
      <c r="AD460" s="18">
        <f t="shared" si="71"/>
        <v>2.0949432034361761E-4</v>
      </c>
      <c r="AE460" s="9">
        <v>95.2</v>
      </c>
      <c r="AF460" s="10">
        <v>90.5</v>
      </c>
      <c r="AG460" s="10">
        <v>60.5</v>
      </c>
      <c r="AH460" s="10">
        <v>94.3</v>
      </c>
      <c r="AI460" s="10">
        <v>92.9</v>
      </c>
      <c r="AJ460" s="10">
        <v>93.6</v>
      </c>
      <c r="AK460" s="11">
        <v>46113.02117</v>
      </c>
      <c r="AL460" s="11">
        <v>72.195066800000006</v>
      </c>
      <c r="AM460" s="11">
        <v>4932.1620229999999</v>
      </c>
      <c r="AN460" s="11">
        <v>8.8000000000000007</v>
      </c>
      <c r="AO460" s="11">
        <v>83.143000000000001</v>
      </c>
      <c r="AP460" s="19">
        <v>4.6773091400000002</v>
      </c>
    </row>
    <row r="461" spans="2:42">
      <c r="B461" t="s">
        <v>173</v>
      </c>
      <c r="C461" t="s">
        <v>174</v>
      </c>
      <c r="D461" t="s">
        <v>175</v>
      </c>
      <c r="E461" t="s">
        <v>35</v>
      </c>
      <c r="F461" t="s">
        <v>36</v>
      </c>
      <c r="G461" t="s">
        <v>37</v>
      </c>
      <c r="H461" t="s">
        <v>38</v>
      </c>
      <c r="I461" t="s">
        <v>39</v>
      </c>
      <c r="J461" t="s">
        <v>40</v>
      </c>
      <c r="K461">
        <v>2017</v>
      </c>
      <c r="L461">
        <v>6.2481999138070399E-2</v>
      </c>
      <c r="M461" s="7">
        <v>25.930250860000001</v>
      </c>
      <c r="N461" s="7">
        <f t="shared" si="63"/>
        <v>7.6453706798893526E-3</v>
      </c>
      <c r="O461" s="8">
        <v>5.0110788939999997</v>
      </c>
      <c r="P461" s="8">
        <f t="shared" si="64"/>
        <v>1.4774849598504795E-3</v>
      </c>
      <c r="Q461" s="8">
        <v>1.7003163450000001</v>
      </c>
      <c r="R461" s="8">
        <f t="shared" si="65"/>
        <v>5.0132753442245831E-4</v>
      </c>
      <c r="S461" s="8">
        <v>3.756209417</v>
      </c>
      <c r="T461" s="8">
        <f t="shared" si="66"/>
        <v>1.1074946208312958E-3</v>
      </c>
      <c r="U461" s="8">
        <v>6.4509686999999996E-2</v>
      </c>
      <c r="V461" s="8">
        <f t="shared" si="67"/>
        <v>1.9020273742104448E-5</v>
      </c>
      <c r="W461" s="8">
        <v>8.4832699999999996E-4</v>
      </c>
      <c r="X461" s="8">
        <f t="shared" si="68"/>
        <v>5.6080075729492836E-9</v>
      </c>
      <c r="Y461" s="8"/>
      <c r="Z461" s="8">
        <f t="shared" si="69"/>
        <v>0</v>
      </c>
      <c r="AA461" s="8">
        <v>1.2931864E-2</v>
      </c>
      <c r="AB461" s="8">
        <f t="shared" si="70"/>
        <v>3.8128784174021152E-6</v>
      </c>
      <c r="AC461" s="8">
        <v>0.78928402600000003</v>
      </c>
      <c r="AD461" s="18">
        <f t="shared" si="71"/>
        <v>2.3271540962197331E-4</v>
      </c>
      <c r="AE461" s="9">
        <v>34.299999999999997</v>
      </c>
      <c r="AF461" s="10">
        <v>24.3</v>
      </c>
      <c r="AG461" s="10">
        <v>52.4</v>
      </c>
      <c r="AH461" s="10">
        <v>32.4</v>
      </c>
      <c r="AI461" s="10">
        <v>40.5</v>
      </c>
      <c r="AJ461" s="10">
        <v>36.5</v>
      </c>
      <c r="AK461" s="11">
        <v>3391.6276849999999</v>
      </c>
      <c r="AL461" s="11">
        <v>32.067958900000001</v>
      </c>
      <c r="AM461" s="11">
        <v>719.38362459999996</v>
      </c>
      <c r="AN461" s="11">
        <v>83.5</v>
      </c>
      <c r="AO461" s="11">
        <v>42.975999999999999</v>
      </c>
      <c r="AP461" s="19">
        <v>4.28050117</v>
      </c>
    </row>
    <row r="462" spans="2:42">
      <c r="B462" t="s">
        <v>32</v>
      </c>
      <c r="C462" t="s">
        <v>33</v>
      </c>
      <c r="D462" t="s">
        <v>34</v>
      </c>
      <c r="E462" t="s">
        <v>35</v>
      </c>
      <c r="F462" t="s">
        <v>36</v>
      </c>
      <c r="G462" t="s">
        <v>37</v>
      </c>
      <c r="H462" t="s">
        <v>38</v>
      </c>
      <c r="I462" t="s">
        <v>39</v>
      </c>
      <c r="J462" t="s">
        <v>40</v>
      </c>
      <c r="K462">
        <v>2018</v>
      </c>
      <c r="L462">
        <v>0.82036724318375998</v>
      </c>
      <c r="M462" s="17">
        <v>611.32132300000001</v>
      </c>
      <c r="N462" s="7">
        <f t="shared" si="63"/>
        <v>1.2181673474280546E-2</v>
      </c>
      <c r="O462" s="8">
        <v>77.487071220000004</v>
      </c>
      <c r="P462" s="8">
        <f t="shared" si="64"/>
        <v>1.5440688301990762E-3</v>
      </c>
      <c r="Q462" s="8">
        <v>0.45708755099999998</v>
      </c>
      <c r="R462" s="8">
        <f t="shared" si="65"/>
        <v>9.1082890224009997E-6</v>
      </c>
      <c r="S462" s="8">
        <v>57.437290429999997</v>
      </c>
      <c r="T462" s="8">
        <f t="shared" si="66"/>
        <v>1.1445409982299584E-3</v>
      </c>
      <c r="U462" s="8">
        <v>0.163740252</v>
      </c>
      <c r="V462" s="8">
        <f t="shared" si="67"/>
        <v>3.2628181112217025E-6</v>
      </c>
      <c r="W462" s="8">
        <v>0.11938441800000001</v>
      </c>
      <c r="X462" s="8">
        <f t="shared" si="68"/>
        <v>6.5017501175681333E-11</v>
      </c>
      <c r="Y462" s="8">
        <v>2.5985029E-2</v>
      </c>
      <c r="Z462" s="8">
        <f t="shared" si="69"/>
        <v>5.1779829459295789E-7</v>
      </c>
      <c r="AA462" s="8">
        <v>0.208139238</v>
      </c>
      <c r="AB462" s="8">
        <f t="shared" si="70"/>
        <v>4.1475475156975107E-6</v>
      </c>
      <c r="AC462" s="8">
        <v>12.648249910000001</v>
      </c>
      <c r="AD462" s="18">
        <f t="shared" si="71"/>
        <v>2.520390580662247E-4</v>
      </c>
      <c r="AE462" s="9">
        <v>92.4</v>
      </c>
      <c r="AF462" s="10">
        <v>92.4</v>
      </c>
      <c r="AG462" s="10">
        <v>83.5</v>
      </c>
      <c r="AH462" s="10">
        <v>98.1</v>
      </c>
      <c r="AI462" s="10">
        <v>92.9</v>
      </c>
      <c r="AJ462" s="10">
        <v>94.2</v>
      </c>
      <c r="AK462" s="11">
        <v>50183.689810000003</v>
      </c>
      <c r="AL462" s="11">
        <v>46.658095000000003</v>
      </c>
      <c r="AM462" s="11">
        <v>9999.8966479999999</v>
      </c>
      <c r="AN462" s="11">
        <v>9.8000000000000007</v>
      </c>
      <c r="AO462" s="11">
        <v>86.012</v>
      </c>
      <c r="AP462" s="19">
        <v>4.2503330500000001</v>
      </c>
    </row>
    <row r="463" spans="2:42">
      <c r="B463" t="s">
        <v>41</v>
      </c>
      <c r="C463" t="s">
        <v>42</v>
      </c>
      <c r="D463" t="s">
        <v>43</v>
      </c>
      <c r="E463" t="s">
        <v>35</v>
      </c>
      <c r="F463" t="s">
        <v>36</v>
      </c>
      <c r="G463" t="s">
        <v>37</v>
      </c>
      <c r="H463" t="s">
        <v>38</v>
      </c>
      <c r="I463" t="s">
        <v>39</v>
      </c>
      <c r="J463" t="s">
        <v>40</v>
      </c>
      <c r="K463">
        <v>2018</v>
      </c>
      <c r="L463">
        <v>0.37261570961219598</v>
      </c>
      <c r="M463" s="17">
        <v>82.206921300000005</v>
      </c>
      <c r="N463" s="7">
        <f t="shared" si="63"/>
        <v>1.451483197619398E-3</v>
      </c>
      <c r="O463" s="8">
        <v>5.3833215970000001</v>
      </c>
      <c r="P463" s="8">
        <f t="shared" si="64"/>
        <v>9.5050401132430244E-5</v>
      </c>
      <c r="Q463" s="8">
        <v>0.682898173</v>
      </c>
      <c r="R463" s="8">
        <f t="shared" si="65"/>
        <v>1.2057564109197271E-5</v>
      </c>
      <c r="S463" s="8">
        <v>0.77673935400000005</v>
      </c>
      <c r="T463" s="8">
        <f t="shared" si="66"/>
        <v>1.3714467145003586E-5</v>
      </c>
      <c r="U463" s="8">
        <v>6.0427885000000001E-2</v>
      </c>
      <c r="V463" s="8">
        <f t="shared" si="67"/>
        <v>1.0669425196583448E-6</v>
      </c>
      <c r="W463" s="8">
        <v>8.5930527000000007E-2</v>
      </c>
      <c r="X463" s="8">
        <f t="shared" si="68"/>
        <v>1.8838427660589103E-11</v>
      </c>
      <c r="Y463" s="8">
        <v>1.7153832000000001E-2</v>
      </c>
      <c r="Z463" s="8">
        <f t="shared" si="69"/>
        <v>3.0287594437362721E-7</v>
      </c>
      <c r="AA463" s="8">
        <v>2.748979E-2</v>
      </c>
      <c r="AB463" s="8">
        <f t="shared" si="70"/>
        <v>4.8537237084301016E-7</v>
      </c>
      <c r="AC463" s="8">
        <v>2.1921146280000001</v>
      </c>
      <c r="AD463" s="18">
        <f t="shared" si="71"/>
        <v>3.8704983710388592E-5</v>
      </c>
      <c r="AE463" s="9">
        <v>91</v>
      </c>
      <c r="AF463" s="10">
        <v>91</v>
      </c>
      <c r="AG463" s="10">
        <v>77.400000000000006</v>
      </c>
      <c r="AH463" s="10">
        <v>91.4</v>
      </c>
      <c r="AI463" s="10">
        <v>98.6</v>
      </c>
      <c r="AJ463" s="10">
        <v>94.7</v>
      </c>
      <c r="AK463" s="11">
        <v>56636.495300000002</v>
      </c>
      <c r="AL463" s="11">
        <v>32.147721799999999</v>
      </c>
      <c r="AM463" s="11">
        <v>8396.4508430000005</v>
      </c>
      <c r="AN463" s="11">
        <v>34.1</v>
      </c>
      <c r="AO463" s="11">
        <v>58.296999999999997</v>
      </c>
      <c r="AP463" s="19">
        <v>-6.1511921000000003</v>
      </c>
    </row>
    <row r="464" spans="2:42">
      <c r="B464" t="s">
        <v>44</v>
      </c>
      <c r="C464" t="s">
        <v>45</v>
      </c>
      <c r="D464" t="s">
        <v>46</v>
      </c>
      <c r="E464" t="s">
        <v>35</v>
      </c>
      <c r="F464" t="s">
        <v>36</v>
      </c>
      <c r="G464" t="s">
        <v>37</v>
      </c>
      <c r="H464" t="s">
        <v>38</v>
      </c>
      <c r="I464" t="s">
        <v>39</v>
      </c>
      <c r="J464" t="s">
        <v>40</v>
      </c>
      <c r="K464">
        <v>2018</v>
      </c>
      <c r="L464">
        <v>2.1032063127403501E-2</v>
      </c>
      <c r="M464" s="17">
        <v>53.600957800000003</v>
      </c>
      <c r="N464" s="7">
        <f t="shared" si="63"/>
        <v>3.507227604754908E-3</v>
      </c>
      <c r="O464" s="8">
        <v>7.691368765</v>
      </c>
      <c r="P464" s="8">
        <f t="shared" si="64"/>
        <v>5.0326303779141908E-4</v>
      </c>
      <c r="Q464" s="8">
        <v>3.0743165999999999E-2</v>
      </c>
      <c r="R464" s="8">
        <f t="shared" si="65"/>
        <v>2.0115924207004098E-6</v>
      </c>
      <c r="S464" s="8">
        <v>4.6372413000000003</v>
      </c>
      <c r="T464" s="8">
        <f t="shared" si="66"/>
        <v>3.0342481486906442E-4</v>
      </c>
      <c r="U464" s="8">
        <v>1.0359779999999999E-3</v>
      </c>
      <c r="V464" s="8">
        <f t="shared" si="67"/>
        <v>6.7786300630597671E-8</v>
      </c>
      <c r="W464" s="8">
        <v>1.6101872E-2</v>
      </c>
      <c r="X464" s="8">
        <f t="shared" si="68"/>
        <v>4.4354055329184274E-12</v>
      </c>
      <c r="Y464" s="8">
        <v>4.0942700000000002E-4</v>
      </c>
      <c r="Z464" s="8">
        <f t="shared" si="69"/>
        <v>2.6789701816335597E-8</v>
      </c>
      <c r="AA464" s="8">
        <v>3.5172259999999997E-2</v>
      </c>
      <c r="AB464" s="8">
        <f t="shared" si="70"/>
        <v>2.3013977036361246E-6</v>
      </c>
      <c r="AC464" s="8">
        <v>2.815070253</v>
      </c>
      <c r="AD464" s="18">
        <f t="shared" si="71"/>
        <v>1.8419618801375192E-4</v>
      </c>
      <c r="AE464" s="9">
        <v>21</v>
      </c>
      <c r="AF464" s="10">
        <v>47.6</v>
      </c>
      <c r="AG464" s="10">
        <v>20.8</v>
      </c>
      <c r="AH464" s="10">
        <v>39.5</v>
      </c>
      <c r="AI464" s="10">
        <v>28.6</v>
      </c>
      <c r="AJ464" s="10">
        <v>7.3</v>
      </c>
      <c r="AK464" s="11">
        <v>15282.999519999999</v>
      </c>
      <c r="AL464" s="11">
        <v>57.825392600000001</v>
      </c>
      <c r="AM464" s="11">
        <v>2182.7464639999998</v>
      </c>
      <c r="AN464" s="11">
        <v>1.9</v>
      </c>
      <c r="AO464" s="11">
        <v>55.68</v>
      </c>
      <c r="AP464" s="19">
        <v>2.9779758900000002</v>
      </c>
    </row>
    <row r="465" spans="2:42">
      <c r="B465" t="s">
        <v>47</v>
      </c>
      <c r="C465" t="s">
        <v>48</v>
      </c>
      <c r="D465" t="s">
        <v>49</v>
      </c>
      <c r="E465" t="s">
        <v>35</v>
      </c>
      <c r="F465" t="s">
        <v>36</v>
      </c>
      <c r="G465" t="s">
        <v>37</v>
      </c>
      <c r="H465" t="s">
        <v>38</v>
      </c>
      <c r="I465" t="s">
        <v>39</v>
      </c>
      <c r="J465" t="s">
        <v>40</v>
      </c>
      <c r="K465">
        <v>2018</v>
      </c>
      <c r="L465">
        <v>1.2850066617256199</v>
      </c>
      <c r="M465" s="17">
        <v>3.1594219999999999E-2</v>
      </c>
      <c r="N465" s="7">
        <f t="shared" si="63"/>
        <v>6.0217623902418133E-7</v>
      </c>
      <c r="O465" s="8">
        <v>7.0273043189999997</v>
      </c>
      <c r="P465" s="8">
        <f t="shared" si="64"/>
        <v>1.3393828634774985E-4</v>
      </c>
      <c r="Q465" s="8">
        <v>0.30036109999999999</v>
      </c>
      <c r="R465" s="8">
        <f t="shared" si="65"/>
        <v>5.7247913557342462E-6</v>
      </c>
      <c r="S465" s="8">
        <v>2.582137474</v>
      </c>
      <c r="T465" s="8">
        <f t="shared" si="66"/>
        <v>4.9214756140101568E-5</v>
      </c>
      <c r="U465" s="8">
        <v>4.7654426E-2</v>
      </c>
      <c r="V465" s="8">
        <f t="shared" si="67"/>
        <v>9.0827888840225078E-7</v>
      </c>
      <c r="W465" s="8">
        <v>7.3619624999999994E-2</v>
      </c>
      <c r="X465" s="8">
        <f t="shared" si="68"/>
        <v>1.7311519797074638E-11</v>
      </c>
      <c r="Y465" s="8">
        <v>5.5580822000000002E-2</v>
      </c>
      <c r="Z465" s="8">
        <f t="shared" si="69"/>
        <v>1.0593535891638558E-6</v>
      </c>
      <c r="AA465" s="8">
        <v>3.1084199E-2</v>
      </c>
      <c r="AB465" s="8">
        <f t="shared" si="70"/>
        <v>5.9245539364159709E-7</v>
      </c>
      <c r="AC465" s="8">
        <v>2.519996404</v>
      </c>
      <c r="AD465" s="18">
        <f t="shared" si="71"/>
        <v>4.8030366216199719E-5</v>
      </c>
      <c r="AE465" s="9">
        <v>89.5</v>
      </c>
      <c r="AF465" s="10">
        <v>86.2</v>
      </c>
      <c r="AG465" s="10">
        <v>59.4</v>
      </c>
      <c r="AH465" s="10">
        <v>86.7</v>
      </c>
      <c r="AI465" s="10">
        <v>87.6</v>
      </c>
      <c r="AJ465" s="10">
        <v>92.7</v>
      </c>
      <c r="AK465" s="11">
        <v>52466.733079999998</v>
      </c>
      <c r="AL465" s="11">
        <v>44.403633599999999</v>
      </c>
      <c r="AM465" s="11">
        <v>7748.2787779999999</v>
      </c>
      <c r="AN465" s="11">
        <v>10.7</v>
      </c>
      <c r="AO465" s="11">
        <v>98.001000000000005</v>
      </c>
      <c r="AP465" s="19">
        <v>-7.6664953999999996</v>
      </c>
    </row>
    <row r="466" spans="2:42">
      <c r="B466" t="s">
        <v>50</v>
      </c>
      <c r="C466" t="s">
        <v>51</v>
      </c>
      <c r="D466" t="s">
        <v>52</v>
      </c>
      <c r="E466" t="s">
        <v>35</v>
      </c>
      <c r="F466" t="s">
        <v>36</v>
      </c>
      <c r="G466" t="s">
        <v>37</v>
      </c>
      <c r="H466" t="s">
        <v>38</v>
      </c>
      <c r="I466" t="s">
        <v>39</v>
      </c>
      <c r="J466" t="s">
        <v>40</v>
      </c>
      <c r="K466">
        <v>2018</v>
      </c>
      <c r="L466">
        <v>0.69914123225805402</v>
      </c>
      <c r="M466" s="17">
        <v>247.90330499999999</v>
      </c>
      <c r="N466" s="7">
        <f t="shared" si="63"/>
        <v>1.0306435224047006E-2</v>
      </c>
      <c r="O466" s="8">
        <v>2.0901638889999998</v>
      </c>
      <c r="P466" s="8">
        <f t="shared" si="64"/>
        <v>8.6897343823716573E-5</v>
      </c>
      <c r="Q466" s="8">
        <v>0.340537914</v>
      </c>
      <c r="R466" s="8">
        <f t="shared" si="65"/>
        <v>1.415766502981108E-5</v>
      </c>
      <c r="S466" s="8">
        <v>1.0587497269999999</v>
      </c>
      <c r="T466" s="8">
        <f t="shared" si="66"/>
        <v>4.4016901992504498E-5</v>
      </c>
      <c r="U466" s="8">
        <v>1.5268218E-2</v>
      </c>
      <c r="V466" s="8">
        <f t="shared" si="67"/>
        <v>6.3476725251254127E-7</v>
      </c>
      <c r="W466" s="8">
        <v>2.1939354000000001E-2</v>
      </c>
      <c r="X466" s="8">
        <f t="shared" si="68"/>
        <v>2.6390078060342101E-11</v>
      </c>
      <c r="Y466" s="8">
        <v>7.3815369999999996E-3</v>
      </c>
      <c r="Z466" s="8">
        <f t="shared" si="69"/>
        <v>3.0688309276234241E-7</v>
      </c>
      <c r="AA466" s="8">
        <v>4.9071311999999999E-2</v>
      </c>
      <c r="AB466" s="8">
        <f t="shared" si="70"/>
        <v>2.0401111574006668E-6</v>
      </c>
      <c r="AC466" s="8">
        <v>5.7834345450000004</v>
      </c>
      <c r="AD466" s="18">
        <f t="shared" si="71"/>
        <v>2.4044291588027949E-4</v>
      </c>
      <c r="AE466" s="9">
        <v>49</v>
      </c>
      <c r="AF466" s="10">
        <v>57.1</v>
      </c>
      <c r="AG466" s="10">
        <v>61.8</v>
      </c>
      <c r="AH466" s="10">
        <v>72.400000000000006</v>
      </c>
      <c r="AI466" s="10">
        <v>51</v>
      </c>
      <c r="AJ466" s="10">
        <v>58.7</v>
      </c>
      <c r="AK466" s="11">
        <v>24053.254069999999</v>
      </c>
      <c r="AL466" s="11">
        <v>46.3338246</v>
      </c>
      <c r="AM466" s="11">
        <v>5353.9087300000001</v>
      </c>
      <c r="AN466" s="11">
        <v>19.600000000000001</v>
      </c>
      <c r="AO466" s="11">
        <v>75.007999999999996</v>
      </c>
      <c r="AP466" s="19">
        <v>2.7317989200000001</v>
      </c>
    </row>
    <row r="467" spans="2:42">
      <c r="B467" t="s">
        <v>53</v>
      </c>
      <c r="C467" t="s">
        <v>54</v>
      </c>
      <c r="D467" t="s">
        <v>55</v>
      </c>
      <c r="E467" t="s">
        <v>35</v>
      </c>
      <c r="F467" t="s">
        <v>36</v>
      </c>
      <c r="G467" t="s">
        <v>37</v>
      </c>
      <c r="H467" t="s">
        <v>38</v>
      </c>
      <c r="I467" t="s">
        <v>39</v>
      </c>
      <c r="J467" t="s">
        <v>40</v>
      </c>
      <c r="K467">
        <v>2018</v>
      </c>
      <c r="L467">
        <v>0.70497724400908002</v>
      </c>
      <c r="M467" s="17">
        <v>13.433603099999999</v>
      </c>
      <c r="N467" s="7">
        <f t="shared" si="63"/>
        <v>2.6876559291011078E-4</v>
      </c>
      <c r="O467" s="8">
        <v>31.445820099999999</v>
      </c>
      <c r="P467" s="8">
        <f t="shared" si="64"/>
        <v>6.2913534223154016E-4</v>
      </c>
      <c r="Q467" s="8">
        <v>1.058229622</v>
      </c>
      <c r="R467" s="8">
        <f t="shared" si="65"/>
        <v>2.1171960320300997E-5</v>
      </c>
      <c r="S467" s="8">
        <v>76.815279279999999</v>
      </c>
      <c r="T467" s="8">
        <f t="shared" si="66"/>
        <v>1.5368404088285852E-3</v>
      </c>
      <c r="U467" s="8">
        <v>0.28889278400000001</v>
      </c>
      <c r="V467" s="8">
        <f t="shared" si="67"/>
        <v>5.7798670841490456E-6</v>
      </c>
      <c r="W467" s="8">
        <v>0.15961631300000001</v>
      </c>
      <c r="X467" s="8">
        <f t="shared" si="68"/>
        <v>1.1563758377028062E-10</v>
      </c>
      <c r="Y467" s="8">
        <v>0.15527359700000001</v>
      </c>
      <c r="Z467" s="8">
        <f t="shared" si="69"/>
        <v>3.1065530260448594E-6</v>
      </c>
      <c r="AA467" s="8">
        <v>0.62685922199999999</v>
      </c>
      <c r="AB467" s="8">
        <f t="shared" si="70"/>
        <v>1.2541548921599505E-5</v>
      </c>
      <c r="AC467" s="8">
        <v>19.531127189999999</v>
      </c>
      <c r="AD467" s="18">
        <f t="shared" si="71"/>
        <v>3.9075852847127336E-4</v>
      </c>
      <c r="AE467" s="9">
        <v>93.8</v>
      </c>
      <c r="AF467" s="10">
        <v>94.8</v>
      </c>
      <c r="AG467" s="10">
        <v>82.5</v>
      </c>
      <c r="AH467" s="10">
        <v>94.3</v>
      </c>
      <c r="AI467" s="10">
        <v>94.8</v>
      </c>
      <c r="AJ467" s="10">
        <v>96.6</v>
      </c>
      <c r="AK467" s="11">
        <v>49982.599909999997</v>
      </c>
      <c r="AL467" s="11">
        <v>6.4568199100000001</v>
      </c>
      <c r="AM467" s="11">
        <v>15556.332410000001</v>
      </c>
      <c r="AN467" s="11">
        <v>22.3</v>
      </c>
      <c r="AO467" s="11">
        <v>81.411000000000001</v>
      </c>
      <c r="AP467" s="19">
        <v>2.46931207</v>
      </c>
    </row>
    <row r="468" spans="2:42">
      <c r="B468" t="s">
        <v>56</v>
      </c>
      <c r="C468" t="s">
        <v>57</v>
      </c>
      <c r="D468" t="s">
        <v>58</v>
      </c>
      <c r="E468" t="s">
        <v>35</v>
      </c>
      <c r="F468" t="s">
        <v>36</v>
      </c>
      <c r="G468" t="s">
        <v>37</v>
      </c>
      <c r="H468" t="s">
        <v>38</v>
      </c>
      <c r="I468" t="s">
        <v>39</v>
      </c>
      <c r="J468" t="s">
        <v>40</v>
      </c>
      <c r="K468">
        <v>2018</v>
      </c>
      <c r="L468">
        <v>8.76473031744191E-2</v>
      </c>
      <c r="M468" s="17">
        <v>794.17371300000002</v>
      </c>
      <c r="N468" s="7">
        <f t="shared" si="63"/>
        <v>3.1383950897452537E-2</v>
      </c>
      <c r="O468" s="8">
        <v>6.8443087839999999</v>
      </c>
      <c r="P468" s="8">
        <f t="shared" si="64"/>
        <v>2.7047162011022022E-4</v>
      </c>
      <c r="Q468" s="8">
        <v>0.67945692400000002</v>
      </c>
      <c r="R468" s="8">
        <f t="shared" si="65"/>
        <v>2.6850602570561463E-5</v>
      </c>
      <c r="S468" s="8">
        <v>1.91455218</v>
      </c>
      <c r="T468" s="8">
        <f t="shared" si="66"/>
        <v>7.5658776693520086E-5</v>
      </c>
      <c r="U468" s="8">
        <v>9.7999417000000005E-2</v>
      </c>
      <c r="V468" s="8">
        <f t="shared" si="67"/>
        <v>3.8727155542442077E-6</v>
      </c>
      <c r="W468" s="8">
        <v>0.17186984399999999</v>
      </c>
      <c r="X468" s="8">
        <f t="shared" si="68"/>
        <v>1.5304096925479692E-10</v>
      </c>
      <c r="Y468" s="8">
        <v>3.5420807999999998E-2</v>
      </c>
      <c r="Z468" s="8">
        <f t="shared" si="69"/>
        <v>1.3997503075502751E-6</v>
      </c>
      <c r="AA468" s="8">
        <v>5.9469400999999998E-2</v>
      </c>
      <c r="AB468" s="8">
        <f t="shared" si="70"/>
        <v>2.3500963710252075E-6</v>
      </c>
      <c r="AC468" s="8">
        <v>11.65033349</v>
      </c>
      <c r="AD468" s="18">
        <f t="shared" si="71"/>
        <v>4.6039485845977233E-4</v>
      </c>
      <c r="AE468" s="9">
        <v>81</v>
      </c>
      <c r="AF468" s="10">
        <v>77.599999999999994</v>
      </c>
      <c r="AG468" s="10">
        <v>60.8</v>
      </c>
      <c r="AH468" s="10">
        <v>88.1</v>
      </c>
      <c r="AI468" s="10">
        <v>79</v>
      </c>
      <c r="AJ468" s="10">
        <v>81.099999999999994</v>
      </c>
      <c r="AK468" s="11">
        <v>25305.090349999999</v>
      </c>
      <c r="AL468" s="11">
        <v>15.9892536</v>
      </c>
      <c r="AM468" s="11">
        <v>4172.296781</v>
      </c>
      <c r="AN468" s="11">
        <v>25.5</v>
      </c>
      <c r="AO468" s="11">
        <v>87.563999999999993</v>
      </c>
      <c r="AP468" s="19">
        <v>2.6846134500000001</v>
      </c>
    </row>
    <row r="469" spans="2:42">
      <c r="B469" t="s">
        <v>59</v>
      </c>
      <c r="C469" t="s">
        <v>60</v>
      </c>
      <c r="D469" t="s">
        <v>61</v>
      </c>
      <c r="E469" t="s">
        <v>35</v>
      </c>
      <c r="F469" t="s">
        <v>36</v>
      </c>
      <c r="G469" t="s">
        <v>37</v>
      </c>
      <c r="H469" t="s">
        <v>38</v>
      </c>
      <c r="I469" t="s">
        <v>39</v>
      </c>
      <c r="J469" t="s">
        <v>40</v>
      </c>
      <c r="K469">
        <v>2018</v>
      </c>
      <c r="L469">
        <v>0.129794860511288</v>
      </c>
      <c r="M469" s="17">
        <v>0.29847374999999998</v>
      </c>
      <c r="N469" s="7">
        <f t="shared" si="63"/>
        <v>1.0019707621293482E-5</v>
      </c>
      <c r="O469" s="8">
        <v>1.605904241</v>
      </c>
      <c r="P469" s="8">
        <f t="shared" si="64"/>
        <v>5.3909903174450764E-5</v>
      </c>
      <c r="Q469" s="8">
        <v>0.375236236</v>
      </c>
      <c r="R469" s="8">
        <f t="shared" si="65"/>
        <v>1.2596609831298999E-5</v>
      </c>
      <c r="S469" s="8">
        <v>0.32453084900000001</v>
      </c>
      <c r="T469" s="8">
        <f t="shared" si="66"/>
        <v>1.0894439531349555E-5</v>
      </c>
      <c r="U469" s="8">
        <v>4.1216589999999997E-3</v>
      </c>
      <c r="V469" s="8">
        <f t="shared" si="67"/>
        <v>1.3836331702427053E-7</v>
      </c>
      <c r="W469" s="8">
        <v>8.8824950000000007E-3</v>
      </c>
      <c r="X469" s="8">
        <f t="shared" si="68"/>
        <v>4.6448305155663763E-12</v>
      </c>
      <c r="Y469" s="8">
        <v>1.5341650000000001E-3</v>
      </c>
      <c r="Z469" s="8">
        <f t="shared" si="69"/>
        <v>5.1501630353830836E-8</v>
      </c>
      <c r="AA469" s="8">
        <v>1.3413156000000001E-2</v>
      </c>
      <c r="AB469" s="8">
        <f t="shared" si="70"/>
        <v>4.5027712285853748E-7</v>
      </c>
      <c r="AC469" s="8">
        <v>1.509367144</v>
      </c>
      <c r="AD469" s="18">
        <f t="shared" si="71"/>
        <v>5.0669170994322873E-5</v>
      </c>
      <c r="AE469" s="9">
        <v>57.1</v>
      </c>
      <c r="AF469" s="10">
        <v>71</v>
      </c>
      <c r="AG469" s="10">
        <v>71.7</v>
      </c>
      <c r="AH469" s="10">
        <v>69</v>
      </c>
      <c r="AI469" s="10">
        <v>61.9</v>
      </c>
      <c r="AJ469" s="10">
        <v>60.7</v>
      </c>
      <c r="AK469" s="11">
        <v>29788.66862</v>
      </c>
      <c r="AL469" s="11">
        <v>26.517046700000002</v>
      </c>
      <c r="AM469" s="11">
        <v>4310.847315</v>
      </c>
      <c r="AN469" s="11">
        <v>32.799999999999997</v>
      </c>
      <c r="AO469" s="11">
        <v>56.947000000000003</v>
      </c>
      <c r="AP469" s="19">
        <v>2.66911436</v>
      </c>
    </row>
    <row r="470" spans="2:42">
      <c r="B470" t="s">
        <v>62</v>
      </c>
      <c r="C470" t="s">
        <v>63</v>
      </c>
      <c r="D470" t="s">
        <v>64</v>
      </c>
      <c r="E470" t="s">
        <v>35</v>
      </c>
      <c r="F470" t="s">
        <v>36</v>
      </c>
      <c r="G470" t="s">
        <v>37</v>
      </c>
      <c r="H470" t="s">
        <v>38</v>
      </c>
      <c r="I470" t="s">
        <v>39</v>
      </c>
      <c r="J470" t="s">
        <v>40</v>
      </c>
      <c r="K470">
        <v>2018</v>
      </c>
      <c r="L470">
        <v>0.25818153215470502</v>
      </c>
      <c r="M470" s="17">
        <v>9.2323501399999994</v>
      </c>
      <c r="N470" s="7">
        <f t="shared" si="63"/>
        <v>2.2559405008328192E-4</v>
      </c>
      <c r="O470" s="8">
        <v>0.40782922799999999</v>
      </c>
      <c r="P470" s="8">
        <f t="shared" si="64"/>
        <v>9.9653767341690314E-6</v>
      </c>
      <c r="Q470" s="8">
        <v>9.3609179999999993E-3</v>
      </c>
      <c r="R470" s="8">
        <f t="shared" si="65"/>
        <v>2.287356276673336E-7</v>
      </c>
      <c r="S470" s="8">
        <v>4.4361189999999997E-3</v>
      </c>
      <c r="T470" s="8">
        <f t="shared" si="66"/>
        <v>1.0839732426584489E-7</v>
      </c>
      <c r="U470" s="8">
        <v>2.46708E-3</v>
      </c>
      <c r="V470" s="8">
        <f t="shared" si="67"/>
        <v>6.0283520516420018E-8</v>
      </c>
      <c r="W470" s="8">
        <v>2.2956119999999998E-3</v>
      </c>
      <c r="X470" s="8">
        <f t="shared" si="68"/>
        <v>1.4730381040961918E-12</v>
      </c>
      <c r="Y470" s="8"/>
      <c r="Z470" s="8">
        <f t="shared" si="69"/>
        <v>0</v>
      </c>
      <c r="AA470" s="8">
        <v>4.0308829999999999E-3</v>
      </c>
      <c r="AB470" s="8">
        <f t="shared" si="70"/>
        <v>9.8495313500084566E-8</v>
      </c>
      <c r="AC470" s="8">
        <v>0.95260372100000001</v>
      </c>
      <c r="AD470" s="18">
        <f t="shared" si="71"/>
        <v>2.3277034372181504E-5</v>
      </c>
      <c r="AE470" s="9">
        <v>72.400000000000006</v>
      </c>
      <c r="AF470" s="10">
        <v>76.7</v>
      </c>
      <c r="AG470" s="10">
        <v>63.2</v>
      </c>
      <c r="AH470" s="10">
        <v>78.099999999999994</v>
      </c>
      <c r="AI470" s="10">
        <v>75.2</v>
      </c>
      <c r="AJ470" s="10">
        <v>80.599999999999994</v>
      </c>
      <c r="AK470" s="11">
        <v>40924.617189999997</v>
      </c>
      <c r="AL470" s="11">
        <v>14.3340801</v>
      </c>
      <c r="AM470" s="11">
        <v>3857.6038939999999</v>
      </c>
      <c r="AN470" s="11">
        <v>12</v>
      </c>
      <c r="AO470" s="11">
        <v>66.81</v>
      </c>
      <c r="AP470" s="19">
        <v>307.08673099999999</v>
      </c>
    </row>
    <row r="471" spans="2:42">
      <c r="B471" t="s">
        <v>65</v>
      </c>
      <c r="C471" t="s">
        <v>66</v>
      </c>
      <c r="D471" t="s">
        <v>67</v>
      </c>
      <c r="E471" t="s">
        <v>35</v>
      </c>
      <c r="F471" t="s">
        <v>36</v>
      </c>
      <c r="G471" t="s">
        <v>37</v>
      </c>
      <c r="H471" t="s">
        <v>38</v>
      </c>
      <c r="I471" t="s">
        <v>39</v>
      </c>
      <c r="J471" t="s">
        <v>40</v>
      </c>
      <c r="K471">
        <v>2018</v>
      </c>
      <c r="L471">
        <v>0.85150683979573305</v>
      </c>
      <c r="M471" s="17">
        <v>9.2323501399999994</v>
      </c>
      <c r="N471" s="7">
        <f t="shared" si="63"/>
        <v>2.2172797779408199E-4</v>
      </c>
      <c r="O471" s="8">
        <v>5.064728026</v>
      </c>
      <c r="P471" s="8">
        <f t="shared" si="64"/>
        <v>1.2163662407218806E-4</v>
      </c>
      <c r="Q471" s="8">
        <v>0.98302651100000005</v>
      </c>
      <c r="R471" s="8">
        <f t="shared" si="65"/>
        <v>2.360877534937187E-5</v>
      </c>
      <c r="S471" s="8">
        <v>2.997994415</v>
      </c>
      <c r="T471" s="8">
        <f t="shared" si="66"/>
        <v>7.2001086288512648E-5</v>
      </c>
      <c r="U471" s="8">
        <v>3.4308877000000002E-2</v>
      </c>
      <c r="V471" s="8">
        <f t="shared" si="67"/>
        <v>8.2397632263066351E-7</v>
      </c>
      <c r="W471" s="8">
        <v>4.7214900999999997E-2</v>
      </c>
      <c r="X471" s="8">
        <f t="shared" si="68"/>
        <v>1.9788959581974986E-11</v>
      </c>
      <c r="Y471" s="8">
        <v>1.4752054000000001E-2</v>
      </c>
      <c r="Z471" s="8">
        <f t="shared" si="69"/>
        <v>3.5429149156263463E-7</v>
      </c>
      <c r="AA471" s="8">
        <v>3.7316400999999999E-2</v>
      </c>
      <c r="AB471" s="8">
        <f t="shared" si="70"/>
        <v>8.9620627541353831E-7</v>
      </c>
      <c r="AC471" s="8">
        <v>4.8888916709999997</v>
      </c>
      <c r="AD471" s="18">
        <f t="shared" si="71"/>
        <v>1.1741366471453609E-4</v>
      </c>
      <c r="AE471" s="9">
        <v>67.599999999999994</v>
      </c>
      <c r="AF471" s="10">
        <v>78.599999999999994</v>
      </c>
      <c r="AG471" s="10">
        <v>86.8</v>
      </c>
      <c r="AH471" s="10">
        <v>87.1</v>
      </c>
      <c r="AI471" s="10">
        <v>81.400000000000006</v>
      </c>
      <c r="AJ471" s="10">
        <v>74.8</v>
      </c>
      <c r="AK471" s="11">
        <v>41638.183109999998</v>
      </c>
      <c r="AL471" s="11">
        <v>45.628804600000002</v>
      </c>
      <c r="AM471" s="11">
        <v>6572.104722</v>
      </c>
      <c r="AN471" s="11">
        <v>14.7</v>
      </c>
      <c r="AO471" s="11">
        <v>73.792000000000002</v>
      </c>
      <c r="AP471" s="19">
        <v>3.30353998</v>
      </c>
    </row>
    <row r="472" spans="2:42">
      <c r="B472" t="s">
        <v>68</v>
      </c>
      <c r="C472" t="s">
        <v>69</v>
      </c>
      <c r="D472" t="s">
        <v>70</v>
      </c>
      <c r="E472" t="s">
        <v>35</v>
      </c>
      <c r="F472" t="s">
        <v>36</v>
      </c>
      <c r="G472" t="s">
        <v>37</v>
      </c>
      <c r="H472" t="s">
        <v>38</v>
      </c>
      <c r="I472" t="s">
        <v>39</v>
      </c>
      <c r="J472" t="s">
        <v>40</v>
      </c>
      <c r="K472">
        <v>2018</v>
      </c>
      <c r="L472">
        <v>0.39666003199730199</v>
      </c>
      <c r="M472" s="17">
        <v>794.17371300000002</v>
      </c>
      <c r="N472" s="7">
        <f t="shared" si="63"/>
        <v>1.3875999264297495E-2</v>
      </c>
      <c r="O472" s="8">
        <v>6.8131246599999997</v>
      </c>
      <c r="P472" s="8">
        <f t="shared" si="64"/>
        <v>1.1904059681427294E-4</v>
      </c>
      <c r="Q472" s="8">
        <v>0.37097749499999999</v>
      </c>
      <c r="R472" s="8">
        <f t="shared" si="65"/>
        <v>6.4818104193420049E-6</v>
      </c>
      <c r="S472" s="8">
        <v>0.46091580599999998</v>
      </c>
      <c r="T472" s="8">
        <f t="shared" si="66"/>
        <v>8.0532348027478548E-6</v>
      </c>
      <c r="U472" s="8">
        <v>1.0472802999999999E-2</v>
      </c>
      <c r="V472" s="8">
        <f t="shared" si="67"/>
        <v>1.829834006645503E-7</v>
      </c>
      <c r="W472" s="8">
        <v>0.101248412</v>
      </c>
      <c r="X472" s="8">
        <f t="shared" si="68"/>
        <v>3.1971311709733631E-12</v>
      </c>
      <c r="Y472" s="14">
        <v>4.8787199999999999E-7</v>
      </c>
      <c r="Z472" s="8">
        <f t="shared" si="69"/>
        <v>8.5242200821514052E-12</v>
      </c>
      <c r="AA472" s="8">
        <v>1.6750549999999999E-2</v>
      </c>
      <c r="AB472" s="8">
        <f t="shared" si="70"/>
        <v>2.926697467718607E-7</v>
      </c>
      <c r="AC472" s="8">
        <v>2.550696254</v>
      </c>
      <c r="AD472" s="18">
        <f t="shared" si="71"/>
        <v>4.4566394939277442E-5</v>
      </c>
      <c r="AE472" s="9">
        <v>99.5</v>
      </c>
      <c r="AF472" s="10">
        <v>96.7</v>
      </c>
      <c r="AG472" s="10">
        <v>80.2</v>
      </c>
      <c r="AH472" s="10">
        <v>93.8</v>
      </c>
      <c r="AI472" s="10">
        <v>96.7</v>
      </c>
      <c r="AJ472" s="10">
        <v>97.6</v>
      </c>
      <c r="AK472" s="11">
        <v>57233.623169999999</v>
      </c>
      <c r="AL472" s="11">
        <v>65.8125</v>
      </c>
      <c r="AM472" s="11">
        <v>5783.2421640000002</v>
      </c>
      <c r="AN472" s="11">
        <v>34.6</v>
      </c>
      <c r="AO472" s="11">
        <v>87.873999999999995</v>
      </c>
      <c r="AP472" s="19">
        <v>2.4667005799999999</v>
      </c>
    </row>
    <row r="473" spans="2:42">
      <c r="B473" t="s">
        <v>71</v>
      </c>
      <c r="C473" t="s">
        <v>72</v>
      </c>
      <c r="D473" t="s">
        <v>73</v>
      </c>
      <c r="E473" t="s">
        <v>35</v>
      </c>
      <c r="F473" t="s">
        <v>36</v>
      </c>
      <c r="G473" t="s">
        <v>37</v>
      </c>
      <c r="H473" t="s">
        <v>38</v>
      </c>
      <c r="I473" t="s">
        <v>39</v>
      </c>
      <c r="J473" t="s">
        <v>40</v>
      </c>
      <c r="K473">
        <v>2018</v>
      </c>
      <c r="L473">
        <v>8.9159257558798305E-2</v>
      </c>
      <c r="M473" s="17">
        <v>342.30950300000001</v>
      </c>
      <c r="N473" s="7">
        <f t="shared" si="63"/>
        <v>3.7192345579736601E-2</v>
      </c>
      <c r="O473" s="8">
        <v>1.553581772</v>
      </c>
      <c r="P473" s="8">
        <f t="shared" si="64"/>
        <v>1.6879855699069961E-4</v>
      </c>
      <c r="Q473" s="8">
        <v>6.5714364999999997E-2</v>
      </c>
      <c r="R473" s="8">
        <f t="shared" si="65"/>
        <v>7.139946017312138E-6</v>
      </c>
      <c r="S473" s="14">
        <v>9.1502700000000001E-5</v>
      </c>
      <c r="T473" s="8">
        <f t="shared" si="66"/>
        <v>9.9418801115754137E-9</v>
      </c>
      <c r="U473" s="8">
        <v>1.3261950000000001E-3</v>
      </c>
      <c r="V473" s="8">
        <f t="shared" si="67"/>
        <v>1.4409270649468001E-7</v>
      </c>
      <c r="W473" s="8">
        <v>1.2701337E-2</v>
      </c>
      <c r="X473" s="8">
        <f t="shared" si="68"/>
        <v>1.5655848547884735E-11</v>
      </c>
      <c r="Y473" s="8"/>
      <c r="Z473" s="8">
        <f t="shared" si="69"/>
        <v>0</v>
      </c>
      <c r="AA473" s="8">
        <v>1.6752920000000001E-2</v>
      </c>
      <c r="AB473" s="8">
        <f t="shared" si="70"/>
        <v>1.8202252191335774E-6</v>
      </c>
      <c r="AC473" s="8">
        <v>1.335287645</v>
      </c>
      <c r="AD473" s="18">
        <f t="shared" si="71"/>
        <v>1.4508063347920739E-4</v>
      </c>
      <c r="AE473" s="9">
        <v>32.4</v>
      </c>
      <c r="AF473" s="10">
        <v>34.799999999999997</v>
      </c>
      <c r="AG473" s="10">
        <v>32.1</v>
      </c>
      <c r="AH473" s="10">
        <v>52.9</v>
      </c>
      <c r="AI473" s="10">
        <v>17.600000000000001</v>
      </c>
      <c r="AJ473" s="10">
        <v>48.1</v>
      </c>
      <c r="AK473" s="11">
        <v>9203.7621629999994</v>
      </c>
      <c r="AL473" s="11">
        <v>57.707529000000001</v>
      </c>
      <c r="AM473" s="11">
        <v>1017.716466</v>
      </c>
      <c r="AN473" s="11">
        <v>23.2</v>
      </c>
      <c r="AO473" s="11">
        <v>72.022999999999996</v>
      </c>
      <c r="AP473" s="19">
        <v>1.58620479</v>
      </c>
    </row>
    <row r="474" spans="2:42">
      <c r="B474" t="s">
        <v>74</v>
      </c>
      <c r="C474" t="s">
        <v>75</v>
      </c>
      <c r="D474" t="s">
        <v>76</v>
      </c>
      <c r="E474" t="s">
        <v>35</v>
      </c>
      <c r="F474" t="s">
        <v>36</v>
      </c>
      <c r="G474" t="s">
        <v>37</v>
      </c>
      <c r="H474" t="s">
        <v>38</v>
      </c>
      <c r="I474" t="s">
        <v>39</v>
      </c>
      <c r="J474" t="s">
        <v>40</v>
      </c>
      <c r="K474">
        <v>2018</v>
      </c>
      <c r="L474">
        <v>0.74579180994108896</v>
      </c>
      <c r="M474" s="17">
        <v>6.2088350200000004</v>
      </c>
      <c r="N474" s="7">
        <f t="shared" si="63"/>
        <v>1.6725942271108703E-4</v>
      </c>
      <c r="O474" s="8">
        <v>0.87744511000000003</v>
      </c>
      <c r="P474" s="8">
        <f t="shared" si="64"/>
        <v>2.3637439565798973E-5</v>
      </c>
      <c r="Q474" s="8">
        <v>0.145374531</v>
      </c>
      <c r="R474" s="8">
        <f t="shared" si="65"/>
        <v>3.9162355020918278E-6</v>
      </c>
      <c r="S474" s="8">
        <v>6.0140605E-2</v>
      </c>
      <c r="T474" s="8">
        <f t="shared" si="66"/>
        <v>1.6201240395972889E-6</v>
      </c>
      <c r="U474" s="8">
        <v>2.186108E-3</v>
      </c>
      <c r="V474" s="8">
        <f t="shared" si="67"/>
        <v>5.8891428244793182E-8</v>
      </c>
      <c r="W474" s="8">
        <v>3.2649943000000001E-2</v>
      </c>
      <c r="X474" s="8">
        <f t="shared" si="68"/>
        <v>1.5864725442254564E-12</v>
      </c>
      <c r="Y474" s="8"/>
      <c r="Z474" s="8">
        <f t="shared" si="69"/>
        <v>0</v>
      </c>
      <c r="AA474" s="8">
        <v>4.2318939999999999E-3</v>
      </c>
      <c r="AB474" s="8">
        <f t="shared" si="70"/>
        <v>1.140027308077052E-7</v>
      </c>
      <c r="AC474" s="8">
        <v>1.8993053200000001</v>
      </c>
      <c r="AD474" s="18">
        <f t="shared" si="71"/>
        <v>5.1165268581302457E-5</v>
      </c>
      <c r="AE474" s="9">
        <v>90</v>
      </c>
      <c r="AF474" s="10">
        <v>83.3</v>
      </c>
      <c r="AG474" s="10">
        <v>65.099999999999994</v>
      </c>
      <c r="AH474" s="10">
        <v>91.9</v>
      </c>
      <c r="AI474" s="10">
        <v>85.7</v>
      </c>
      <c r="AJ474" s="10">
        <v>88.8</v>
      </c>
      <c r="AK474" s="11">
        <v>37120.987979999998</v>
      </c>
      <c r="AL474" s="11">
        <v>23.040935699999999</v>
      </c>
      <c r="AM474" s="11">
        <v>7354.8934660000004</v>
      </c>
      <c r="AN474" s="11">
        <v>28.6</v>
      </c>
      <c r="AO474" s="11">
        <v>68.88</v>
      </c>
      <c r="AP474" s="19">
        <v>4.0801583199999998</v>
      </c>
    </row>
    <row r="475" spans="2:42">
      <c r="B475" t="s">
        <v>77</v>
      </c>
      <c r="C475" t="s">
        <v>78</v>
      </c>
      <c r="D475" t="s">
        <v>79</v>
      </c>
      <c r="E475" t="s">
        <v>35</v>
      </c>
      <c r="F475" t="s">
        <v>36</v>
      </c>
      <c r="G475" t="s">
        <v>37</v>
      </c>
      <c r="H475" t="s">
        <v>38</v>
      </c>
      <c r="I475" t="s">
        <v>39</v>
      </c>
      <c r="J475" t="s">
        <v>40</v>
      </c>
      <c r="K475">
        <v>2018</v>
      </c>
      <c r="L475">
        <v>0.19789087731622301</v>
      </c>
      <c r="M475" s="17">
        <v>10.013489</v>
      </c>
      <c r="N475" s="7">
        <f t="shared" si="63"/>
        <v>2.0332503328372622E-4</v>
      </c>
      <c r="O475" s="8">
        <v>2.4820264390000002</v>
      </c>
      <c r="P475" s="8">
        <f t="shared" si="64"/>
        <v>5.0397829200268113E-5</v>
      </c>
      <c r="Q475" s="8">
        <v>0.55462581499999997</v>
      </c>
      <c r="R475" s="8">
        <f t="shared" si="65"/>
        <v>1.1261740268041317E-5</v>
      </c>
      <c r="S475" s="8">
        <v>0.125834793</v>
      </c>
      <c r="T475" s="8">
        <f t="shared" si="66"/>
        <v>2.555089786884052E-6</v>
      </c>
      <c r="U475" s="8">
        <v>0.166656465</v>
      </c>
      <c r="V475" s="8">
        <f t="shared" si="67"/>
        <v>3.3839784807346528E-6</v>
      </c>
      <c r="W475" s="8">
        <v>0.14803817399999999</v>
      </c>
      <c r="X475" s="8">
        <f t="shared" si="68"/>
        <v>6.8712068014134403E-11</v>
      </c>
      <c r="Y475" s="8">
        <v>3.6124522999999999E-2</v>
      </c>
      <c r="Z475" s="8">
        <f t="shared" si="69"/>
        <v>7.3351254905595176E-7</v>
      </c>
      <c r="AA475" s="8">
        <v>2.2626925999999999E-2</v>
      </c>
      <c r="AB475" s="8">
        <f t="shared" si="70"/>
        <v>4.59442306478632E-7</v>
      </c>
      <c r="AC475" s="8">
        <v>3.7338404180000002</v>
      </c>
      <c r="AD475" s="18">
        <f t="shared" si="71"/>
        <v>7.5816054450748618E-5</v>
      </c>
      <c r="AE475" s="9">
        <v>100</v>
      </c>
      <c r="AF475" s="10">
        <v>99.5</v>
      </c>
      <c r="AG475" s="10">
        <v>77.8</v>
      </c>
      <c r="AH475" s="10">
        <v>96.2</v>
      </c>
      <c r="AI475" s="10">
        <v>100</v>
      </c>
      <c r="AJ475" s="10">
        <v>98.5</v>
      </c>
      <c r="AK475" s="11">
        <v>49248.677539999997</v>
      </c>
      <c r="AL475" s="11">
        <v>7.4756514899999997</v>
      </c>
      <c r="AM475" s="11">
        <v>15805.38571</v>
      </c>
      <c r="AN475" s="11">
        <v>44.2</v>
      </c>
      <c r="AO475" s="11">
        <v>85.382000000000005</v>
      </c>
      <c r="AP475" s="19">
        <v>-3.8445665999999998</v>
      </c>
    </row>
    <row r="476" spans="2:42">
      <c r="B476" t="s">
        <v>80</v>
      </c>
      <c r="C476" t="s">
        <v>81</v>
      </c>
      <c r="D476" t="s">
        <v>82</v>
      </c>
      <c r="E476" t="s">
        <v>35</v>
      </c>
      <c r="F476" t="s">
        <v>36</v>
      </c>
      <c r="G476" t="s">
        <v>37</v>
      </c>
      <c r="H476" t="s">
        <v>38</v>
      </c>
      <c r="I476" t="s">
        <v>39</v>
      </c>
      <c r="J476" t="s">
        <v>40</v>
      </c>
      <c r="K476">
        <v>2018</v>
      </c>
      <c r="L476">
        <v>0.96343850521261298</v>
      </c>
      <c r="M476" s="17">
        <v>0.16579587000000001</v>
      </c>
      <c r="N476" s="7">
        <f t="shared" si="63"/>
        <v>3.574646059408028E-6</v>
      </c>
      <c r="O476" s="8">
        <v>47.127596769999997</v>
      </c>
      <c r="P476" s="8">
        <f t="shared" si="64"/>
        <v>1.0160957452272543E-3</v>
      </c>
      <c r="Q476" s="8">
        <v>2.5893896299999999</v>
      </c>
      <c r="R476" s="8">
        <f t="shared" si="65"/>
        <v>5.5828600779690775E-5</v>
      </c>
      <c r="S476" s="8">
        <v>3.2877299340000001</v>
      </c>
      <c r="T476" s="8">
        <f t="shared" si="66"/>
        <v>7.0885184612686164E-5</v>
      </c>
      <c r="U476" s="8">
        <v>9.7444972000000005E-2</v>
      </c>
      <c r="V476" s="8">
        <f t="shared" si="67"/>
        <v>2.1009647898281521E-6</v>
      </c>
      <c r="W476" s="8">
        <v>0.19535401399999999</v>
      </c>
      <c r="X476" s="8">
        <f t="shared" si="68"/>
        <v>4.5297904627625642E-11</v>
      </c>
      <c r="Y476" s="8">
        <v>6.0706351999999998E-2</v>
      </c>
      <c r="Z476" s="8">
        <f t="shared" si="69"/>
        <v>1.3088608416954937E-6</v>
      </c>
      <c r="AA476" s="8">
        <v>0.15804660100000001</v>
      </c>
      <c r="AB476" s="8">
        <f t="shared" si="70"/>
        <v>3.4075677486265665E-6</v>
      </c>
      <c r="AC476" s="8">
        <v>20.1300606</v>
      </c>
      <c r="AD476" s="18">
        <f t="shared" si="71"/>
        <v>4.3401468202696966E-4</v>
      </c>
      <c r="AE476" s="9">
        <v>87.6</v>
      </c>
      <c r="AF476" s="10">
        <v>89.5</v>
      </c>
      <c r="AG476" s="10">
        <v>48.1</v>
      </c>
      <c r="AH476" s="10">
        <v>83.8</v>
      </c>
      <c r="AI476" s="10">
        <v>88.1</v>
      </c>
      <c r="AJ476" s="10">
        <v>86.9</v>
      </c>
      <c r="AK476" s="11">
        <v>46381.05906</v>
      </c>
      <c r="AL476" s="11">
        <v>52.341765299999999</v>
      </c>
      <c r="AM476" s="11">
        <v>7148.7464220000002</v>
      </c>
      <c r="AN476" s="11">
        <v>15.2</v>
      </c>
      <c r="AO476" s="11">
        <v>80.444000000000003</v>
      </c>
      <c r="AP476" s="19">
        <v>2.7859418499999999</v>
      </c>
    </row>
    <row r="477" spans="2:42">
      <c r="B477" t="s">
        <v>83</v>
      </c>
      <c r="C477" t="s">
        <v>84</v>
      </c>
      <c r="D477" t="s">
        <v>85</v>
      </c>
      <c r="E477" t="s">
        <v>35</v>
      </c>
      <c r="F477" t="s">
        <v>36</v>
      </c>
      <c r="G477" t="s">
        <v>37</v>
      </c>
      <c r="H477" t="s">
        <v>38</v>
      </c>
      <c r="I477" t="s">
        <v>39</v>
      </c>
      <c r="J477" t="s">
        <v>40</v>
      </c>
      <c r="K477">
        <v>2018</v>
      </c>
      <c r="L477">
        <v>0.42130665674753698</v>
      </c>
      <c r="M477" s="17">
        <v>18.0983804</v>
      </c>
      <c r="N477" s="7">
        <f t="shared" si="63"/>
        <v>1.204799223823649E-3</v>
      </c>
      <c r="O477" s="8">
        <v>2.1729671779999999</v>
      </c>
      <c r="P477" s="8">
        <f t="shared" si="64"/>
        <v>1.4465322927175654E-4</v>
      </c>
      <c r="Q477" s="8">
        <v>0.10117374899999999</v>
      </c>
      <c r="R477" s="8">
        <f t="shared" si="65"/>
        <v>6.7350807957671544E-6</v>
      </c>
      <c r="S477" s="8">
        <v>0.120858348</v>
      </c>
      <c r="T477" s="8">
        <f t="shared" si="66"/>
        <v>8.0454737189084861E-6</v>
      </c>
      <c r="U477" s="8">
        <v>3.6925640000000002E-3</v>
      </c>
      <c r="V477" s="8">
        <f t="shared" si="67"/>
        <v>2.4581195348944861E-7</v>
      </c>
      <c r="W477" s="8">
        <v>8.1186500000000005E-4</v>
      </c>
      <c r="X477" s="8">
        <f t="shared" si="68"/>
        <v>1.6363566475299776E-11</v>
      </c>
      <c r="Y477" s="8">
        <v>1.0318000000000001E-2</v>
      </c>
      <c r="Z477" s="8">
        <f t="shared" si="69"/>
        <v>6.8686358208121264E-7</v>
      </c>
      <c r="AA477" s="8">
        <v>2.0363063000000001E-2</v>
      </c>
      <c r="AB477" s="8">
        <f t="shared" si="70"/>
        <v>1.3555578982676297E-6</v>
      </c>
      <c r="AC477" s="8">
        <v>1.557065049</v>
      </c>
      <c r="AD477" s="18">
        <f t="shared" si="71"/>
        <v>1.0365296347059496E-4</v>
      </c>
      <c r="AE477" s="9">
        <v>76.7</v>
      </c>
      <c r="AF477" s="10">
        <v>71.400000000000006</v>
      </c>
      <c r="AG477" s="10">
        <v>30.2</v>
      </c>
      <c r="AH477" s="10">
        <v>81.400000000000006</v>
      </c>
      <c r="AI477" s="10">
        <v>61</v>
      </c>
      <c r="AJ477" s="10">
        <v>55.8</v>
      </c>
      <c r="AK477" s="11">
        <v>15021.90576</v>
      </c>
      <c r="AL477" s="11">
        <v>34.166067099999999</v>
      </c>
      <c r="AM477" s="11">
        <v>3268.9762030000002</v>
      </c>
      <c r="AN477" s="11">
        <v>27.4</v>
      </c>
      <c r="AO477" s="11">
        <v>58.631999999999998</v>
      </c>
      <c r="AP477" s="19">
        <v>7.2840197699999996</v>
      </c>
    </row>
    <row r="478" spans="2:42">
      <c r="B478" t="s">
        <v>86</v>
      </c>
      <c r="C478" t="s">
        <v>87</v>
      </c>
      <c r="D478" t="s">
        <v>88</v>
      </c>
      <c r="E478" t="s">
        <v>35</v>
      </c>
      <c r="F478" t="s">
        <v>36</v>
      </c>
      <c r="G478" t="s">
        <v>37</v>
      </c>
      <c r="H478" t="s">
        <v>38</v>
      </c>
      <c r="I478" t="s">
        <v>39</v>
      </c>
      <c r="J478" t="s">
        <v>40</v>
      </c>
      <c r="K478">
        <v>2018</v>
      </c>
      <c r="L478">
        <v>0.57614880625176401</v>
      </c>
      <c r="M478" s="17">
        <v>16.959904900000002</v>
      </c>
      <c r="N478" s="7">
        <f t="shared" si="63"/>
        <v>3.013859697507698E-4</v>
      </c>
      <c r="O478" s="8">
        <v>37.935938530000001</v>
      </c>
      <c r="P478" s="8">
        <f t="shared" si="64"/>
        <v>6.7414055029693242E-4</v>
      </c>
      <c r="Q478" s="8">
        <v>3.1252642480000001</v>
      </c>
      <c r="R478" s="8">
        <f t="shared" si="65"/>
        <v>5.5537504582993871E-5</v>
      </c>
      <c r="S478" s="8">
        <v>11.1640719</v>
      </c>
      <c r="T478" s="8">
        <f t="shared" si="66"/>
        <v>1.9839112635288531E-4</v>
      </c>
      <c r="U478" s="8">
        <v>0.21368405700000001</v>
      </c>
      <c r="V478" s="8">
        <f t="shared" si="67"/>
        <v>3.7972722794703739E-6</v>
      </c>
      <c r="W478" s="8">
        <v>0.43396316699999998</v>
      </c>
      <c r="X478" s="8">
        <f t="shared" si="68"/>
        <v>6.7479422502887657E-11</v>
      </c>
      <c r="Y478" s="8">
        <v>0.239968504</v>
      </c>
      <c r="Z478" s="8">
        <f t="shared" si="69"/>
        <v>4.2643600134621902E-6</v>
      </c>
      <c r="AA478" s="8">
        <v>0.26173321500000002</v>
      </c>
      <c r="AB478" s="8">
        <f t="shared" si="70"/>
        <v>4.6511297842691158E-6</v>
      </c>
      <c r="AC478" s="8">
        <v>13.00141165</v>
      </c>
      <c r="AD478" s="18">
        <f t="shared" si="71"/>
        <v>2.3104157018381661E-4</v>
      </c>
      <c r="AE478" s="9">
        <v>95.7</v>
      </c>
      <c r="AF478" s="10">
        <v>91.4</v>
      </c>
      <c r="AG478" s="10">
        <v>64.599999999999994</v>
      </c>
      <c r="AH478" s="10">
        <v>95.2</v>
      </c>
      <c r="AI478" s="10">
        <v>91.4</v>
      </c>
      <c r="AJ478" s="10">
        <v>95.1</v>
      </c>
      <c r="AK478" s="11">
        <v>56273.040560000001</v>
      </c>
      <c r="AL478" s="11">
        <v>47.6415364</v>
      </c>
      <c r="AM478" s="11">
        <v>6815.8213619999997</v>
      </c>
      <c r="AN478" s="11">
        <v>16</v>
      </c>
      <c r="AO478" s="11">
        <v>77.311999999999998</v>
      </c>
      <c r="AP478" s="19">
        <v>4.0042102599999998</v>
      </c>
    </row>
    <row r="479" spans="2:42">
      <c r="B479" t="s">
        <v>89</v>
      </c>
      <c r="C479" t="s">
        <v>90</v>
      </c>
      <c r="D479" t="s">
        <v>91</v>
      </c>
      <c r="E479" t="s">
        <v>35</v>
      </c>
      <c r="F479" t="s">
        <v>36</v>
      </c>
      <c r="G479" t="s">
        <v>37</v>
      </c>
      <c r="H479" t="s">
        <v>38</v>
      </c>
      <c r="I479" t="s">
        <v>39</v>
      </c>
      <c r="J479" t="s">
        <v>40</v>
      </c>
      <c r="K479">
        <v>2018</v>
      </c>
      <c r="L479">
        <v>1.38228316198666</v>
      </c>
      <c r="M479" s="17">
        <v>0.71367294999999997</v>
      </c>
      <c r="N479" s="7">
        <f t="shared" si="63"/>
        <v>2.3955139992546838E-5</v>
      </c>
      <c r="O479" s="8">
        <v>4.2657674889999999</v>
      </c>
      <c r="P479" s="8">
        <f t="shared" si="64"/>
        <v>1.4318471419527673E-4</v>
      </c>
      <c r="Q479" s="8">
        <v>0.26922524599999997</v>
      </c>
      <c r="R479" s="8">
        <f t="shared" si="65"/>
        <v>9.0368122505663989E-6</v>
      </c>
      <c r="S479" s="8">
        <v>2.5839680569999999</v>
      </c>
      <c r="T479" s="8">
        <f t="shared" si="66"/>
        <v>8.673344918243609E-5</v>
      </c>
      <c r="U479" s="8">
        <v>1.1145878999999999E-2</v>
      </c>
      <c r="V479" s="8">
        <f t="shared" si="67"/>
        <v>3.7412247694828277E-7</v>
      </c>
      <c r="W479" s="8">
        <v>2.2315616E-2</v>
      </c>
      <c r="X479" s="8">
        <f t="shared" si="68"/>
        <v>1.255779178635605E-11</v>
      </c>
      <c r="Y479" s="8">
        <v>2.6703600000000001E-3</v>
      </c>
      <c r="Z479" s="8">
        <f t="shared" si="69"/>
        <v>8.9633280384940161E-8</v>
      </c>
      <c r="AA479" s="8">
        <v>6.5274466000000003E-2</v>
      </c>
      <c r="AB479" s="8">
        <f t="shared" si="70"/>
        <v>2.1910021543744079E-6</v>
      </c>
      <c r="AC479" s="8">
        <v>4.5891927680000002</v>
      </c>
      <c r="AD479" s="18">
        <f t="shared" si="71"/>
        <v>1.5404080427907984E-4</v>
      </c>
      <c r="AE479" s="9">
        <v>54.8</v>
      </c>
      <c r="AF479" s="10">
        <v>62.9</v>
      </c>
      <c r="AG479" s="10">
        <v>53.3</v>
      </c>
      <c r="AH479" s="10">
        <v>66.2</v>
      </c>
      <c r="AI479" s="10">
        <v>57.1</v>
      </c>
      <c r="AJ479" s="10">
        <v>71.8</v>
      </c>
      <c r="AK479" s="11">
        <v>29792.059249999998</v>
      </c>
      <c r="AL479" s="11">
        <v>46.110864200000002</v>
      </c>
      <c r="AM479" s="11">
        <v>5059.0326070000001</v>
      </c>
      <c r="AN479" s="11">
        <v>17.899999999999999</v>
      </c>
      <c r="AO479" s="11">
        <v>79.058000000000007</v>
      </c>
      <c r="AP479" s="19">
        <v>1.8872335</v>
      </c>
    </row>
    <row r="480" spans="2:42">
      <c r="B480" t="s">
        <v>92</v>
      </c>
      <c r="C480" t="s">
        <v>93</v>
      </c>
      <c r="D480" t="s">
        <v>94</v>
      </c>
      <c r="E480" t="s">
        <v>35</v>
      </c>
      <c r="F480" t="s">
        <v>36</v>
      </c>
      <c r="G480" t="s">
        <v>37</v>
      </c>
      <c r="H480" t="s">
        <v>38</v>
      </c>
      <c r="I480" t="s">
        <v>39</v>
      </c>
      <c r="J480" t="s">
        <v>40</v>
      </c>
      <c r="K480">
        <v>2018</v>
      </c>
      <c r="L480">
        <v>0.62722913274562397</v>
      </c>
      <c r="M480" s="17">
        <v>18.0983804</v>
      </c>
      <c r="N480" s="7">
        <f t="shared" si="63"/>
        <v>5.610464308959198E-4</v>
      </c>
      <c r="O480" s="8">
        <v>3.5933408509999998</v>
      </c>
      <c r="P480" s="8">
        <f t="shared" si="64"/>
        <v>1.1139289897155973E-4</v>
      </c>
      <c r="Q480" s="8">
        <v>0.55274340600000005</v>
      </c>
      <c r="R480" s="8">
        <f t="shared" si="65"/>
        <v>1.7134942922160832E-5</v>
      </c>
      <c r="S480" s="8">
        <v>2.1568472930000002</v>
      </c>
      <c r="T480" s="8">
        <f t="shared" si="66"/>
        <v>6.6861865480801592E-5</v>
      </c>
      <c r="U480" s="8">
        <v>1.6162474999999999E-2</v>
      </c>
      <c r="V480" s="8">
        <f t="shared" si="67"/>
        <v>5.0103372306145858E-7</v>
      </c>
      <c r="W480" s="8">
        <v>3.3792856000000003E-2</v>
      </c>
      <c r="X480" s="8">
        <f t="shared" si="68"/>
        <v>1.5531952355368E-11</v>
      </c>
      <c r="Y480" s="8">
        <v>5.8948849999999999E-3</v>
      </c>
      <c r="Z480" s="8">
        <f t="shared" si="69"/>
        <v>1.8274034011307961E-7</v>
      </c>
      <c r="AA480" s="8">
        <v>2.0884373000000001E-2</v>
      </c>
      <c r="AB480" s="8">
        <f t="shared" si="70"/>
        <v>6.4741168403936921E-7</v>
      </c>
      <c r="AC480" s="8">
        <v>3.231583622</v>
      </c>
      <c r="AD480" s="18">
        <f t="shared" si="71"/>
        <v>1.0017849206356658E-4</v>
      </c>
      <c r="AE480" s="9">
        <v>58.1</v>
      </c>
      <c r="AF480" s="10">
        <v>68.099999999999994</v>
      </c>
      <c r="AG480" s="10">
        <v>70.8</v>
      </c>
      <c r="AH480" s="10">
        <v>71</v>
      </c>
      <c r="AI480" s="10">
        <v>70.5</v>
      </c>
      <c r="AJ480" s="10">
        <v>64.099999999999994</v>
      </c>
      <c r="AK480" s="11">
        <v>32258.25779</v>
      </c>
      <c r="AL480" s="11">
        <v>58.031996499999998</v>
      </c>
      <c r="AM480" s="11">
        <v>4435.7844530000002</v>
      </c>
      <c r="AN480" s="11">
        <v>13.6</v>
      </c>
      <c r="AO480" s="11">
        <v>71.350999999999999</v>
      </c>
      <c r="AP480" s="19">
        <v>-40.108246000000001</v>
      </c>
    </row>
    <row r="481" spans="2:42">
      <c r="B481" t="s">
        <v>95</v>
      </c>
      <c r="C481" t="s">
        <v>96</v>
      </c>
      <c r="D481" t="s">
        <v>97</v>
      </c>
      <c r="E481" t="s">
        <v>35</v>
      </c>
      <c r="F481" t="s">
        <v>36</v>
      </c>
      <c r="G481" t="s">
        <v>37</v>
      </c>
      <c r="H481" t="s">
        <v>38</v>
      </c>
      <c r="I481" t="s">
        <v>39</v>
      </c>
      <c r="J481" t="s">
        <v>40</v>
      </c>
      <c r="K481">
        <v>2018</v>
      </c>
      <c r="L481">
        <v>0.64643281353357096</v>
      </c>
      <c r="M481" s="17">
        <v>67.205500000000001</v>
      </c>
      <c r="N481" s="7">
        <f t="shared" si="63"/>
        <v>1.1749671848469249E-3</v>
      </c>
      <c r="O481" s="8">
        <v>0.31260459099999999</v>
      </c>
      <c r="P481" s="8">
        <f t="shared" si="64"/>
        <v>5.4653285260506114E-6</v>
      </c>
      <c r="Q481" s="8">
        <v>1.4842670000000001E-3</v>
      </c>
      <c r="R481" s="8">
        <f t="shared" si="65"/>
        <v>2.5949736532741977E-8</v>
      </c>
      <c r="S481" s="8"/>
      <c r="T481" s="8">
        <f t="shared" si="66"/>
        <v>0</v>
      </c>
      <c r="U481" s="8">
        <v>1.47596E-4</v>
      </c>
      <c r="V481" s="8">
        <f t="shared" si="67"/>
        <v>2.580450359191833E-9</v>
      </c>
      <c r="W481" s="14">
        <v>2.0770799999999999E-6</v>
      </c>
      <c r="X481" s="8">
        <f t="shared" si="68"/>
        <v>4.5114529230150278E-14</v>
      </c>
      <c r="Y481" s="8">
        <v>3.7635199999999998E-3</v>
      </c>
      <c r="Z481" s="8">
        <f t="shared" si="69"/>
        <v>6.5798372149825521E-8</v>
      </c>
      <c r="AA481" s="8">
        <v>2.4180809999999999E-3</v>
      </c>
      <c r="AB481" s="8">
        <f t="shared" si="70"/>
        <v>4.2275793280339217E-8</v>
      </c>
      <c r="AC481" s="8">
        <v>0.32035898000000002</v>
      </c>
      <c r="AD481" s="18">
        <f t="shared" si="71"/>
        <v>5.6009000583439208E-6</v>
      </c>
      <c r="AE481" s="9">
        <v>94.3</v>
      </c>
      <c r="AF481" s="10">
        <v>90</v>
      </c>
      <c r="AG481" s="10">
        <v>97.6</v>
      </c>
      <c r="AH481" s="10">
        <v>90.5</v>
      </c>
      <c r="AI481" s="10">
        <v>93.3</v>
      </c>
      <c r="AJ481" s="10">
        <v>93.7</v>
      </c>
      <c r="AK481" s="11">
        <v>57197.767619999999</v>
      </c>
      <c r="AL481" s="11">
        <v>18.565902999999999</v>
      </c>
      <c r="AM481" s="11">
        <v>54646.590360000002</v>
      </c>
      <c r="AN481" s="11">
        <v>81.400000000000006</v>
      </c>
      <c r="AO481" s="11">
        <v>93.813000000000002</v>
      </c>
      <c r="AP481" s="19">
        <v>-2.3712803</v>
      </c>
    </row>
    <row r="482" spans="2:42">
      <c r="B482" t="s">
        <v>98</v>
      </c>
      <c r="C482" t="s">
        <v>99</v>
      </c>
      <c r="D482" t="s">
        <v>100</v>
      </c>
      <c r="E482" t="s">
        <v>35</v>
      </c>
      <c r="F482" t="s">
        <v>36</v>
      </c>
      <c r="G482" t="s">
        <v>37</v>
      </c>
      <c r="H482" t="s">
        <v>38</v>
      </c>
      <c r="I482" t="s">
        <v>39</v>
      </c>
      <c r="J482" t="s">
        <v>40</v>
      </c>
      <c r="K482">
        <v>2018</v>
      </c>
      <c r="L482">
        <v>0.212311610303027</v>
      </c>
      <c r="M482" s="17">
        <v>3661.8658</v>
      </c>
      <c r="N482" s="7">
        <f t="shared" si="63"/>
        <v>0.32200444083436081</v>
      </c>
      <c r="O482" s="8">
        <v>117.93219569999999</v>
      </c>
      <c r="P482" s="8">
        <f t="shared" si="64"/>
        <v>1.0370311968490736E-2</v>
      </c>
      <c r="Q482" s="8">
        <v>7.1801097870000001</v>
      </c>
      <c r="R482" s="8">
        <f t="shared" si="65"/>
        <v>6.3137956532766885E-4</v>
      </c>
      <c r="S482" s="8">
        <v>196.76644250000001</v>
      </c>
      <c r="T482" s="8">
        <f t="shared" si="66"/>
        <v>1.7302564253495828E-2</v>
      </c>
      <c r="U482" s="8">
        <v>0.45776939799999999</v>
      </c>
      <c r="V482" s="8">
        <f t="shared" si="67"/>
        <v>4.0253735959977547E-5</v>
      </c>
      <c r="W482" s="8">
        <v>0.29122934499999997</v>
      </c>
      <c r="X482" s="8">
        <f t="shared" si="68"/>
        <v>3.5396932731086354E-9</v>
      </c>
      <c r="Y482" s="8">
        <v>8.0190025999999998E-2</v>
      </c>
      <c r="Z482" s="8">
        <f t="shared" si="69"/>
        <v>7.0514720890707823E-6</v>
      </c>
      <c r="AA482" s="8">
        <v>0.84320440200000002</v>
      </c>
      <c r="AB482" s="8">
        <f t="shared" si="70"/>
        <v>7.414678112318632E-5</v>
      </c>
      <c r="AC482" s="8">
        <v>45.587390839999998</v>
      </c>
      <c r="AD482" s="18">
        <f t="shared" si="71"/>
        <v>4.0087056976614655E-3</v>
      </c>
      <c r="AE482" s="9">
        <v>44.3</v>
      </c>
      <c r="AF482" s="10">
        <v>59</v>
      </c>
      <c r="AG482" s="10">
        <v>26.4</v>
      </c>
      <c r="AH482" s="10">
        <v>52.4</v>
      </c>
      <c r="AI482" s="10">
        <v>41.9</v>
      </c>
      <c r="AJ482" s="10">
        <v>51.9</v>
      </c>
      <c r="AK482" s="11">
        <v>11372.0972</v>
      </c>
      <c r="AL482" s="11">
        <v>29.611256099999999</v>
      </c>
      <c r="AM482" s="11">
        <v>972.03261950000001</v>
      </c>
      <c r="AN482" s="11">
        <v>22</v>
      </c>
      <c r="AO482" s="11">
        <v>55.325000000000003</v>
      </c>
      <c r="AP482" s="19">
        <v>1.8142897899999999</v>
      </c>
    </row>
    <row r="483" spans="2:42">
      <c r="B483" t="s">
        <v>101</v>
      </c>
      <c r="C483" t="s">
        <v>102</v>
      </c>
      <c r="D483" t="s">
        <v>103</v>
      </c>
      <c r="E483" t="s">
        <v>35</v>
      </c>
      <c r="F483" t="s">
        <v>36</v>
      </c>
      <c r="G483" t="s">
        <v>37</v>
      </c>
      <c r="H483" t="s">
        <v>38</v>
      </c>
      <c r="I483" t="s">
        <v>39</v>
      </c>
      <c r="J483" t="s">
        <v>40</v>
      </c>
      <c r="K483">
        <v>2018</v>
      </c>
      <c r="L483">
        <v>0.396313270938766</v>
      </c>
      <c r="M483" s="17">
        <v>63.464658700000001</v>
      </c>
      <c r="N483" s="7">
        <f t="shared" si="63"/>
        <v>7.3540142038733009E-4</v>
      </c>
      <c r="O483" s="8">
        <v>15.531309289999999</v>
      </c>
      <c r="P483" s="8">
        <f t="shared" si="64"/>
        <v>1.7997019358966372E-4</v>
      </c>
      <c r="Q483" s="8">
        <v>0.18146372599999999</v>
      </c>
      <c r="R483" s="8">
        <f t="shared" si="65"/>
        <v>2.1027243285116299E-6</v>
      </c>
      <c r="S483" s="8">
        <v>1.3081028189999999</v>
      </c>
      <c r="T483" s="8">
        <f t="shared" si="66"/>
        <v>1.5157738035787633E-5</v>
      </c>
      <c r="U483" s="8">
        <v>1.22968E-2</v>
      </c>
      <c r="V483" s="8">
        <f t="shared" si="67"/>
        <v>1.4249007828066867E-7</v>
      </c>
      <c r="W483" s="8">
        <v>2.2395377000000001E-2</v>
      </c>
      <c r="X483" s="8">
        <f t="shared" si="68"/>
        <v>1.6511143068465851E-12</v>
      </c>
      <c r="Y483" s="8"/>
      <c r="Z483" s="8">
        <f t="shared" si="69"/>
        <v>0</v>
      </c>
      <c r="AA483" s="8">
        <v>1.0384625999999999E-2</v>
      </c>
      <c r="AB483" s="8">
        <f t="shared" si="70"/>
        <v>1.2033262081642924E-7</v>
      </c>
      <c r="AC483" s="8">
        <v>0.83235765699999997</v>
      </c>
      <c r="AD483" s="18">
        <f t="shared" si="71"/>
        <v>9.645005831065316E-6</v>
      </c>
      <c r="AE483" s="9">
        <v>90.5</v>
      </c>
      <c r="AF483" s="10">
        <v>89</v>
      </c>
      <c r="AG483" s="10">
        <v>85.8</v>
      </c>
      <c r="AH483" s="10">
        <v>93.3</v>
      </c>
      <c r="AI483" s="10">
        <v>88.6</v>
      </c>
      <c r="AJ483" s="10">
        <v>91.7</v>
      </c>
      <c r="AK483" s="11">
        <v>86299.342019999996</v>
      </c>
      <c r="AL483" s="11">
        <v>65.553781400000005</v>
      </c>
      <c r="AM483" s="11">
        <v>5894.624401</v>
      </c>
      <c r="AN483" s="11">
        <v>10.8</v>
      </c>
      <c r="AO483" s="11">
        <v>63.17</v>
      </c>
      <c r="AP483" s="19">
        <v>20.3765793</v>
      </c>
    </row>
    <row r="484" spans="2:42">
      <c r="B484" t="s">
        <v>104</v>
      </c>
      <c r="C484" t="s">
        <v>105</v>
      </c>
      <c r="D484" t="s">
        <v>106</v>
      </c>
      <c r="E484" t="s">
        <v>35</v>
      </c>
      <c r="F484" t="s">
        <v>36</v>
      </c>
      <c r="G484" t="s">
        <v>37</v>
      </c>
      <c r="H484" t="s">
        <v>38</v>
      </c>
      <c r="I484" t="s">
        <v>39</v>
      </c>
      <c r="J484" t="s">
        <v>40</v>
      </c>
      <c r="K484">
        <v>2018</v>
      </c>
      <c r="L484">
        <v>0.53977930441746902</v>
      </c>
      <c r="M484" s="17">
        <v>4.5660843499999997</v>
      </c>
      <c r="N484" s="7">
        <f t="shared" si="63"/>
        <v>1.136124750562895E-4</v>
      </c>
      <c r="O484" s="8">
        <v>1.958050367</v>
      </c>
      <c r="P484" s="8">
        <f t="shared" si="64"/>
        <v>4.8719850845450552E-5</v>
      </c>
      <c r="Q484" s="8">
        <v>1.1908291E-2</v>
      </c>
      <c r="R484" s="8">
        <f t="shared" si="65"/>
        <v>2.9629991706143947E-7</v>
      </c>
      <c r="S484" s="8">
        <v>0.32282559700000002</v>
      </c>
      <c r="T484" s="8">
        <f t="shared" si="66"/>
        <v>8.0324874170785464E-6</v>
      </c>
      <c r="U484" s="8">
        <v>5.2718610000000001E-3</v>
      </c>
      <c r="V484" s="8">
        <f t="shared" si="67"/>
        <v>1.3117348048174483E-7</v>
      </c>
      <c r="W484" s="8">
        <v>3.0646032E-2</v>
      </c>
      <c r="X484" s="8">
        <f t="shared" si="68"/>
        <v>3.2638345323775968E-12</v>
      </c>
      <c r="Y484" s="8">
        <v>1.848E-3</v>
      </c>
      <c r="Z484" s="8">
        <f t="shared" si="69"/>
        <v>4.5981597756516044E-8</v>
      </c>
      <c r="AA484" s="8">
        <v>5.1969227999999999E-2</v>
      </c>
      <c r="AB484" s="8">
        <f t="shared" si="70"/>
        <v>1.2930888190544754E-6</v>
      </c>
      <c r="AC484" s="8">
        <v>6.1295072279999996</v>
      </c>
      <c r="AD484" s="18">
        <f t="shared" si="71"/>
        <v>1.5251327694997492E-4</v>
      </c>
      <c r="AE484" s="9">
        <v>77.599999999999994</v>
      </c>
      <c r="AF484" s="10">
        <v>84.8</v>
      </c>
      <c r="AG484" s="10">
        <v>15.1</v>
      </c>
      <c r="AH484" s="10">
        <v>86.2</v>
      </c>
      <c r="AI484" s="10">
        <v>79.5</v>
      </c>
      <c r="AJ484" s="10">
        <v>68.900000000000006</v>
      </c>
      <c r="AK484" s="11">
        <v>40189.991000000002</v>
      </c>
      <c r="AL484" s="11">
        <v>29.634935299999999</v>
      </c>
      <c r="AM484" s="11">
        <v>6812.8292879999999</v>
      </c>
      <c r="AN484" s="11">
        <v>3.8</v>
      </c>
      <c r="AO484" s="11">
        <v>92.418000000000006</v>
      </c>
      <c r="AP484" s="19">
        <v>5.7173936799999998</v>
      </c>
    </row>
    <row r="485" spans="2:42">
      <c r="B485" t="s">
        <v>107</v>
      </c>
      <c r="C485" t="s">
        <v>108</v>
      </c>
      <c r="D485" t="s">
        <v>109</v>
      </c>
      <c r="E485" t="s">
        <v>35</v>
      </c>
      <c r="F485" t="s">
        <v>36</v>
      </c>
      <c r="G485" t="s">
        <v>37</v>
      </c>
      <c r="H485" t="s">
        <v>38</v>
      </c>
      <c r="I485" t="s">
        <v>39</v>
      </c>
      <c r="J485" t="s">
        <v>40</v>
      </c>
      <c r="K485">
        <v>2018</v>
      </c>
      <c r="L485">
        <v>0.86310701589880501</v>
      </c>
      <c r="M485" s="17">
        <v>79.376311299999998</v>
      </c>
      <c r="N485" s="7">
        <f t="shared" si="63"/>
        <v>1.8295078957512403E-3</v>
      </c>
      <c r="O485" s="8">
        <v>22.521695489999999</v>
      </c>
      <c r="P485" s="8">
        <f t="shared" si="64"/>
        <v>5.1909214537486446E-4</v>
      </c>
      <c r="Q485" s="8">
        <v>2.3923562770000002</v>
      </c>
      <c r="R485" s="8">
        <f t="shared" si="65"/>
        <v>5.5140313609175511E-5</v>
      </c>
      <c r="S485" s="8">
        <v>4.4895349250000001</v>
      </c>
      <c r="T485" s="8">
        <f t="shared" si="66"/>
        <v>1.0347721453690747E-4</v>
      </c>
      <c r="U485" s="8">
        <v>5.0555731999999999E-2</v>
      </c>
      <c r="V485" s="8">
        <f t="shared" si="67"/>
        <v>1.1652356900273803E-6</v>
      </c>
      <c r="W485" s="8">
        <v>0.24167280399999999</v>
      </c>
      <c r="X485" s="8">
        <f t="shared" si="68"/>
        <v>2.6856978617451038E-11</v>
      </c>
      <c r="Y485" s="8">
        <v>3.6393366000000003E-2</v>
      </c>
      <c r="Z485" s="8">
        <f t="shared" si="69"/>
        <v>8.3881386473504145E-7</v>
      </c>
      <c r="AA485" s="8">
        <v>0.377585104</v>
      </c>
      <c r="AB485" s="8">
        <f t="shared" si="70"/>
        <v>8.7027844677137739E-6</v>
      </c>
      <c r="AC485" s="8">
        <v>13.825420749999999</v>
      </c>
      <c r="AD485" s="18">
        <f t="shared" si="71"/>
        <v>3.1865573002770706E-4</v>
      </c>
      <c r="AE485" s="9">
        <v>61</v>
      </c>
      <c r="AF485" s="10">
        <v>67.599999999999994</v>
      </c>
      <c r="AG485" s="10">
        <v>57.1</v>
      </c>
      <c r="AH485" s="10">
        <v>75.2</v>
      </c>
      <c r="AI485" s="10">
        <v>60</v>
      </c>
      <c r="AJ485" s="10">
        <v>78.2</v>
      </c>
      <c r="AK485" s="11">
        <v>43386.70059</v>
      </c>
      <c r="AL485" s="11">
        <v>41.948748500000001</v>
      </c>
      <c r="AM485" s="11">
        <v>5247.3157419999998</v>
      </c>
      <c r="AN485" s="11">
        <v>17.100000000000001</v>
      </c>
      <c r="AO485" s="11">
        <v>70.438000000000002</v>
      </c>
      <c r="AP485" s="19">
        <v>2.1076961000000001</v>
      </c>
    </row>
    <row r="486" spans="2:42">
      <c r="B486" t="s">
        <v>110</v>
      </c>
      <c r="C486" t="s">
        <v>111</v>
      </c>
      <c r="D486" t="s">
        <v>112</v>
      </c>
      <c r="E486" t="s">
        <v>35</v>
      </c>
      <c r="F486" t="s">
        <v>36</v>
      </c>
      <c r="G486" t="s">
        <v>37</v>
      </c>
      <c r="H486" t="s">
        <v>38</v>
      </c>
      <c r="I486" t="s">
        <v>39</v>
      </c>
      <c r="J486" t="s">
        <v>40</v>
      </c>
      <c r="K486">
        <v>2018</v>
      </c>
      <c r="L486">
        <v>1.1123714722115501</v>
      </c>
      <c r="M486" s="17">
        <v>1.41056582</v>
      </c>
      <c r="N486" s="7">
        <f t="shared" si="63"/>
        <v>3.3471785525711249E-5</v>
      </c>
      <c r="O486" s="8">
        <v>43.81268129</v>
      </c>
      <c r="P486" s="8">
        <f t="shared" si="64"/>
        <v>1.039645687320867E-3</v>
      </c>
      <c r="Q486" s="8">
        <v>1.1301468189999999</v>
      </c>
      <c r="R486" s="8">
        <f t="shared" si="65"/>
        <v>2.6817629777909131E-5</v>
      </c>
      <c r="S486" s="8">
        <v>4.0336350310000002</v>
      </c>
      <c r="T486" s="8">
        <f t="shared" si="66"/>
        <v>9.5715467319793459E-5</v>
      </c>
      <c r="U486" s="8">
        <v>0.36035842000000001</v>
      </c>
      <c r="V486" s="8">
        <f t="shared" si="67"/>
        <v>8.5510648107326015E-6</v>
      </c>
      <c r="W486" s="8">
        <v>0.64817232999999996</v>
      </c>
      <c r="X486" s="8">
        <f t="shared" si="68"/>
        <v>2.0291106115225331E-10</v>
      </c>
      <c r="Y486" s="8">
        <v>0.56223773200000005</v>
      </c>
      <c r="Z486" s="8">
        <f t="shared" si="69"/>
        <v>1.3341526154352956E-5</v>
      </c>
      <c r="AA486" s="8">
        <v>0.55262267600000003</v>
      </c>
      <c r="AB486" s="8">
        <f t="shared" si="70"/>
        <v>1.3113367292365428E-5</v>
      </c>
      <c r="AC486" s="8">
        <v>7.642450277</v>
      </c>
      <c r="AD486" s="18">
        <f t="shared" si="71"/>
        <v>1.8135024465760596E-4</v>
      </c>
      <c r="AE486" s="9">
        <v>89</v>
      </c>
      <c r="AF486" s="10">
        <v>93.8</v>
      </c>
      <c r="AG486" s="10">
        <v>87.3</v>
      </c>
      <c r="AH486" s="10">
        <v>89</v>
      </c>
      <c r="AI486" s="10">
        <v>89.5</v>
      </c>
      <c r="AJ486" s="10">
        <v>79.599999999999994</v>
      </c>
      <c r="AK486" s="11">
        <v>42141.935299999997</v>
      </c>
      <c r="AL486" s="11">
        <v>13.0205761</v>
      </c>
      <c r="AM486" s="11">
        <v>8057.8892999999998</v>
      </c>
      <c r="AN486" s="11">
        <v>7.3</v>
      </c>
      <c r="AO486" s="11">
        <v>91.616</v>
      </c>
      <c r="AP486" s="19">
        <v>0.50168548000000002</v>
      </c>
    </row>
    <row r="487" spans="2:42">
      <c r="B487" t="s">
        <v>113</v>
      </c>
      <c r="C487" t="s">
        <v>114</v>
      </c>
      <c r="D487" t="s">
        <v>115</v>
      </c>
      <c r="E487" t="s">
        <v>35</v>
      </c>
      <c r="F487" t="s">
        <v>36</v>
      </c>
      <c r="G487" t="s">
        <v>37</v>
      </c>
      <c r="H487" t="s">
        <v>38</v>
      </c>
      <c r="I487" t="s">
        <v>39</v>
      </c>
      <c r="J487" t="s">
        <v>40</v>
      </c>
      <c r="K487">
        <v>2018</v>
      </c>
      <c r="L487">
        <v>0.57805982302605496</v>
      </c>
      <c r="M487" s="17">
        <v>33.976858999999997</v>
      </c>
      <c r="N487" s="7">
        <f t="shared" si="63"/>
        <v>1.1394822424943823E-3</v>
      </c>
      <c r="O487" s="8">
        <v>1.1924427209999999</v>
      </c>
      <c r="P487" s="8">
        <f t="shared" si="64"/>
        <v>3.9990962842421158E-5</v>
      </c>
      <c r="Q487" s="8">
        <v>0.22350096899999999</v>
      </c>
      <c r="R487" s="8">
        <f t="shared" si="65"/>
        <v>7.4955541168707624E-6</v>
      </c>
      <c r="S487" s="8">
        <v>0.16857293500000001</v>
      </c>
      <c r="T487" s="8">
        <f t="shared" si="66"/>
        <v>5.6534321197159445E-6</v>
      </c>
      <c r="U487" s="8">
        <v>1.6416588999999999E-2</v>
      </c>
      <c r="V487" s="8">
        <f t="shared" si="67"/>
        <v>5.5056330097577902E-7</v>
      </c>
      <c r="W487" s="8">
        <v>2.0588400999999999E-2</v>
      </c>
      <c r="X487" s="8">
        <f t="shared" si="68"/>
        <v>1.846424664595954E-11</v>
      </c>
      <c r="Y487" s="8"/>
      <c r="Z487" s="8">
        <f t="shared" si="69"/>
        <v>0</v>
      </c>
      <c r="AA487" s="8">
        <v>7.3661120000000002E-3</v>
      </c>
      <c r="AB487" s="8">
        <f t="shared" si="70"/>
        <v>2.4703736799875407E-7</v>
      </c>
      <c r="AC487" s="8">
        <v>0.77775511500000005</v>
      </c>
      <c r="AD487" s="18">
        <f t="shared" si="71"/>
        <v>2.6083580667408847E-5</v>
      </c>
      <c r="AE487" s="9">
        <v>62.4</v>
      </c>
      <c r="AF487" s="10">
        <v>79.5</v>
      </c>
      <c r="AG487" s="10">
        <v>59.9</v>
      </c>
      <c r="AH487" s="10">
        <v>83.3</v>
      </c>
      <c r="AI487" s="10">
        <v>78.599999999999994</v>
      </c>
      <c r="AJ487" s="10">
        <v>73.3</v>
      </c>
      <c r="AK487" s="11">
        <v>29817.80473</v>
      </c>
      <c r="AL487" s="11">
        <v>31.1440372</v>
      </c>
      <c r="AM487" s="11">
        <v>3728.2570230000001</v>
      </c>
      <c r="AN487" s="11">
        <v>41</v>
      </c>
      <c r="AO487" s="11">
        <v>68.141999999999996</v>
      </c>
      <c r="AP487" s="19">
        <v>1.32076901</v>
      </c>
    </row>
    <row r="488" spans="2:42">
      <c r="B488" t="s">
        <v>116</v>
      </c>
      <c r="C488" t="s">
        <v>117</v>
      </c>
      <c r="D488" t="s">
        <v>118</v>
      </c>
      <c r="E488" t="s">
        <v>35</v>
      </c>
      <c r="F488" t="s">
        <v>36</v>
      </c>
      <c r="G488" t="s">
        <v>37</v>
      </c>
      <c r="H488" t="s">
        <v>38</v>
      </c>
      <c r="I488" t="s">
        <v>39</v>
      </c>
      <c r="J488" t="s">
        <v>40</v>
      </c>
      <c r="K488">
        <v>2018</v>
      </c>
      <c r="L488">
        <v>0.49004499635283499</v>
      </c>
      <c r="M488" s="17">
        <v>88.616881000000006</v>
      </c>
      <c r="N488" s="7">
        <f t="shared" si="63"/>
        <v>2.4283960949740193E-3</v>
      </c>
      <c r="O488" s="8">
        <v>2.170530592</v>
      </c>
      <c r="P488" s="8">
        <f t="shared" si="64"/>
        <v>5.9479728401120844E-5</v>
      </c>
      <c r="Q488" s="8">
        <v>0.20933259600000001</v>
      </c>
      <c r="R488" s="8">
        <f t="shared" si="65"/>
        <v>5.736406573338708E-6</v>
      </c>
      <c r="S488" s="8">
        <v>0.26185023200000002</v>
      </c>
      <c r="T488" s="8">
        <f t="shared" si="66"/>
        <v>7.1755637716118783E-6</v>
      </c>
      <c r="U488" s="8">
        <v>5.4028349999999999E-3</v>
      </c>
      <c r="V488" s="8">
        <f t="shared" si="67"/>
        <v>1.4805557663205226E-7</v>
      </c>
      <c r="W488" s="8">
        <v>2.5799641000000002E-2</v>
      </c>
      <c r="X488" s="8">
        <f t="shared" si="68"/>
        <v>4.0572132541248247E-12</v>
      </c>
      <c r="Y488" s="8">
        <v>3.6064000000000001E-3</v>
      </c>
      <c r="Z488" s="8">
        <f t="shared" si="69"/>
        <v>9.8827306694695144E-8</v>
      </c>
      <c r="AA488" s="8">
        <v>1.4855195999999999E-2</v>
      </c>
      <c r="AB488" s="8">
        <f t="shared" si="70"/>
        <v>4.0708158027445888E-7</v>
      </c>
      <c r="AC488" s="8">
        <v>0.964650597</v>
      </c>
      <c r="AD488" s="18">
        <f t="shared" si="71"/>
        <v>2.643462189522509E-5</v>
      </c>
      <c r="AE488" s="9">
        <v>66.7</v>
      </c>
      <c r="AF488" s="10">
        <v>80.5</v>
      </c>
      <c r="AG488" s="10">
        <v>69.8</v>
      </c>
      <c r="AH488" s="10">
        <v>82.4</v>
      </c>
      <c r="AI488" s="10">
        <v>78.099999999999994</v>
      </c>
      <c r="AJ488" s="10">
        <v>77.2</v>
      </c>
      <c r="AK488" s="11">
        <v>36491.938520000003</v>
      </c>
      <c r="AL488" s="11">
        <v>47.054127399999999</v>
      </c>
      <c r="AM488" s="11">
        <v>4330.6611800000001</v>
      </c>
      <c r="AN488" s="11">
        <v>33.700000000000003</v>
      </c>
      <c r="AO488" s="11">
        <v>67.679000000000002</v>
      </c>
      <c r="AP488" s="19">
        <v>2.3955008499999999</v>
      </c>
    </row>
    <row r="489" spans="2:42">
      <c r="B489" t="s">
        <v>119</v>
      </c>
      <c r="C489" t="s">
        <v>120</v>
      </c>
      <c r="D489" t="s">
        <v>121</v>
      </c>
      <c r="E489" t="s">
        <v>35</v>
      </c>
      <c r="F489" t="s">
        <v>36</v>
      </c>
      <c r="G489" t="s">
        <v>37</v>
      </c>
      <c r="H489" t="s">
        <v>38</v>
      </c>
      <c r="I489" t="s">
        <v>39</v>
      </c>
      <c r="J489" t="s">
        <v>40</v>
      </c>
      <c r="K489">
        <v>2018</v>
      </c>
      <c r="L489">
        <v>0.88024956015519595</v>
      </c>
      <c r="M489" s="17">
        <v>12.437945600000001</v>
      </c>
      <c r="N489" s="7">
        <f t="shared" si="63"/>
        <v>1.0663678587632925E-4</v>
      </c>
      <c r="O489" s="8">
        <v>0.49911819000000002</v>
      </c>
      <c r="P489" s="8">
        <f t="shared" si="64"/>
        <v>4.2791921805809329E-6</v>
      </c>
      <c r="Q489" s="8">
        <v>1.1996921000000001E-2</v>
      </c>
      <c r="R489" s="8">
        <f t="shared" si="65"/>
        <v>1.0285565936646626E-7</v>
      </c>
      <c r="S489" s="8">
        <v>2.5635826E-2</v>
      </c>
      <c r="T489" s="8">
        <f t="shared" si="66"/>
        <v>2.1978887638203162E-7</v>
      </c>
      <c r="U489" s="8">
        <v>1.9771010000000002E-3</v>
      </c>
      <c r="V489" s="8">
        <f t="shared" si="67"/>
        <v>1.6950684845644964E-8</v>
      </c>
      <c r="W489" s="8">
        <v>3.411412E-3</v>
      </c>
      <c r="X489" s="8">
        <f t="shared" si="68"/>
        <v>1.4532677730494181E-13</v>
      </c>
      <c r="Y489" s="8"/>
      <c r="Z489" s="8">
        <f t="shared" si="69"/>
        <v>0</v>
      </c>
      <c r="AA489" s="8">
        <v>4.6010850000000004E-3</v>
      </c>
      <c r="AB489" s="8">
        <f t="shared" si="70"/>
        <v>3.9447424174599251E-8</v>
      </c>
      <c r="AC489" s="8">
        <v>7.7549353000000001E-2</v>
      </c>
      <c r="AD489" s="18">
        <f t="shared" si="71"/>
        <v>6.648697475175379E-7</v>
      </c>
      <c r="AE489" s="9">
        <v>97.1</v>
      </c>
      <c r="AF489" s="10">
        <v>95.7</v>
      </c>
      <c r="AG489" s="10">
        <v>95.8</v>
      </c>
      <c r="AH489" s="10">
        <v>94.8</v>
      </c>
      <c r="AI489" s="10">
        <v>96.2</v>
      </c>
      <c r="AJ489" s="10">
        <v>97.1</v>
      </c>
      <c r="AK489" s="11">
        <v>116638.4142</v>
      </c>
      <c r="AL489" s="11">
        <v>51.101590199999997</v>
      </c>
      <c r="AM489" s="11">
        <v>13497.820540000001</v>
      </c>
      <c r="AN489" s="11">
        <v>16</v>
      </c>
      <c r="AO489" s="11">
        <v>90.980999999999995</v>
      </c>
      <c r="AP489" s="19">
        <v>-117.23394999999999</v>
      </c>
    </row>
    <row r="490" spans="2:42">
      <c r="B490" t="s">
        <v>122</v>
      </c>
      <c r="C490" t="s">
        <v>123</v>
      </c>
      <c r="D490" t="s">
        <v>124</v>
      </c>
      <c r="E490" t="s">
        <v>35</v>
      </c>
      <c r="F490" t="s">
        <v>36</v>
      </c>
      <c r="G490" t="s">
        <v>37</v>
      </c>
      <c r="H490" t="s">
        <v>38</v>
      </c>
      <c r="I490" t="s">
        <v>39</v>
      </c>
      <c r="J490" t="s">
        <v>40</v>
      </c>
      <c r="K490">
        <v>2018</v>
      </c>
      <c r="L490">
        <v>1.34956877111017</v>
      </c>
      <c r="M490" s="17">
        <v>0.11045787999999999</v>
      </c>
      <c r="N490" s="7">
        <f t="shared" si="63"/>
        <v>2.2927343880262829E-6</v>
      </c>
      <c r="O490" s="8">
        <v>5.2972757000000002E-2</v>
      </c>
      <c r="P490" s="8">
        <f t="shared" si="64"/>
        <v>1.0995364169804817E-6</v>
      </c>
      <c r="Q490" s="8">
        <v>8.8334899999999996E-4</v>
      </c>
      <c r="R490" s="8">
        <f t="shared" si="65"/>
        <v>1.8335356689161778E-8</v>
      </c>
      <c r="S490" s="8"/>
      <c r="T490" s="8">
        <f t="shared" si="66"/>
        <v>0</v>
      </c>
      <c r="U490" s="14">
        <v>4.4242900000000003E-5</v>
      </c>
      <c r="V490" s="8">
        <f t="shared" si="67"/>
        <v>9.1833392290353615E-10</v>
      </c>
      <c r="W490" s="8">
        <v>3.6278500000000002E-4</v>
      </c>
      <c r="X490" s="8">
        <f t="shared" si="68"/>
        <v>1.9061526119567158E-14</v>
      </c>
      <c r="Y490" s="8"/>
      <c r="Z490" s="8">
        <f t="shared" si="69"/>
        <v>0</v>
      </c>
      <c r="AA490" s="8">
        <v>1.1684219999999999E-3</v>
      </c>
      <c r="AB490" s="8">
        <f t="shared" si="70"/>
        <v>2.4252514163104032E-8</v>
      </c>
      <c r="AC490" s="8">
        <v>9.6891569999999996E-2</v>
      </c>
      <c r="AD490" s="18">
        <f t="shared" si="71"/>
        <v>2.0111433828791187E-6</v>
      </c>
      <c r="AE490" s="9">
        <v>70</v>
      </c>
      <c r="AF490" s="10">
        <v>78.099999999999994</v>
      </c>
      <c r="AG490" s="10">
        <v>93.9</v>
      </c>
      <c r="AH490" s="10">
        <v>88.6</v>
      </c>
      <c r="AI490" s="10">
        <v>81.900000000000006</v>
      </c>
      <c r="AJ490" s="10">
        <v>82.5</v>
      </c>
      <c r="AK490" s="11">
        <v>48177.355640000002</v>
      </c>
      <c r="AL490" s="11">
        <v>32.4375</v>
      </c>
      <c r="AM490" s="11">
        <v>5044.399394</v>
      </c>
      <c r="AN490" s="11">
        <v>7.6</v>
      </c>
      <c r="AO490" s="11">
        <v>94.611999999999995</v>
      </c>
      <c r="AP490" s="19">
        <v>452.22104000000002</v>
      </c>
    </row>
    <row r="491" spans="2:42">
      <c r="B491" t="s">
        <v>125</v>
      </c>
      <c r="C491" t="s">
        <v>126</v>
      </c>
      <c r="D491" t="s">
        <v>127</v>
      </c>
      <c r="E491" t="s">
        <v>35</v>
      </c>
      <c r="F491" t="s">
        <v>36</v>
      </c>
      <c r="G491" t="s">
        <v>37</v>
      </c>
      <c r="H491" t="s">
        <v>38</v>
      </c>
      <c r="I491" t="s">
        <v>39</v>
      </c>
      <c r="J491" t="s">
        <v>40</v>
      </c>
      <c r="K491">
        <v>2018</v>
      </c>
      <c r="L491">
        <v>0.511338008374009</v>
      </c>
      <c r="M491" s="17">
        <v>297.03779500000002</v>
      </c>
      <c r="N491" s="7">
        <f t="shared" si="63"/>
        <v>1.2876482233140122E-2</v>
      </c>
      <c r="O491" s="8">
        <v>2.6934507999999999E-2</v>
      </c>
      <c r="P491" s="8">
        <f t="shared" si="64"/>
        <v>1.167601293701936E-6</v>
      </c>
      <c r="Q491" s="8">
        <v>2.2774029999999999E-3</v>
      </c>
      <c r="R491" s="8">
        <f t="shared" si="65"/>
        <v>9.8724605962012365E-8</v>
      </c>
      <c r="S491" s="8">
        <v>1.33734E-3</v>
      </c>
      <c r="T491" s="8">
        <f t="shared" si="66"/>
        <v>5.7973210950032835E-8</v>
      </c>
      <c r="U491" s="8">
        <v>1.254935E-3</v>
      </c>
      <c r="V491" s="8">
        <f t="shared" si="67"/>
        <v>5.4400983656795921E-8</v>
      </c>
      <c r="W491" s="8">
        <v>6.9454369999999996E-3</v>
      </c>
      <c r="X491" s="8">
        <f t="shared" si="68"/>
        <v>2.3582631951670619E-12</v>
      </c>
      <c r="Y491" s="8"/>
      <c r="Z491" s="8">
        <f t="shared" si="69"/>
        <v>0</v>
      </c>
      <c r="AA491" s="8">
        <v>7.5798469999999998E-3</v>
      </c>
      <c r="AB491" s="8">
        <f t="shared" si="70"/>
        <v>3.2858365793289178E-7</v>
      </c>
      <c r="AC491" s="8">
        <v>0.49170164199999999</v>
      </c>
      <c r="AD491" s="18">
        <f t="shared" si="71"/>
        <v>2.131509041540934E-5</v>
      </c>
      <c r="AE491" s="9">
        <v>60</v>
      </c>
      <c r="AF491" s="10">
        <v>77.099999999999994</v>
      </c>
      <c r="AG491" s="10">
        <v>76.900000000000006</v>
      </c>
      <c r="AH491" s="10">
        <v>81.900000000000006</v>
      </c>
      <c r="AI491" s="10">
        <v>74.8</v>
      </c>
      <c r="AJ491" s="10">
        <v>71.400000000000006</v>
      </c>
      <c r="AK491" s="11">
        <v>23068.240969999999</v>
      </c>
      <c r="AL491" s="11">
        <v>43.064596899999998</v>
      </c>
      <c r="AM491" s="11">
        <v>2330.162448</v>
      </c>
      <c r="AN491" s="11">
        <v>9.1999999999999993</v>
      </c>
      <c r="AO491" s="11">
        <v>40.792999999999999</v>
      </c>
      <c r="AP491" s="19">
        <v>3.1251416399999998</v>
      </c>
    </row>
    <row r="492" spans="2:42">
      <c r="B492" t="s">
        <v>128</v>
      </c>
      <c r="C492" t="s">
        <v>129</v>
      </c>
      <c r="D492" t="s">
        <v>130</v>
      </c>
      <c r="E492" t="s">
        <v>35</v>
      </c>
      <c r="F492" t="s">
        <v>36</v>
      </c>
      <c r="G492" t="s">
        <v>37</v>
      </c>
      <c r="H492" t="s">
        <v>38</v>
      </c>
      <c r="I492" t="s">
        <v>39</v>
      </c>
      <c r="J492" t="s">
        <v>40</v>
      </c>
      <c r="K492">
        <v>2018</v>
      </c>
      <c r="L492">
        <v>6.1037975527548298E-2</v>
      </c>
      <c r="M492" s="17">
        <v>297.03779500000002</v>
      </c>
      <c r="N492" s="7">
        <f t="shared" si="63"/>
        <v>2.5028050283515929E-2</v>
      </c>
      <c r="O492" s="8">
        <v>1.0986948350000001</v>
      </c>
      <c r="P492" s="8">
        <f t="shared" si="64"/>
        <v>9.257471621286187E-5</v>
      </c>
      <c r="Q492" s="8">
        <v>0.27817818799999999</v>
      </c>
      <c r="R492" s="8">
        <f t="shared" si="65"/>
        <v>2.343896229448292E-5</v>
      </c>
      <c r="S492" s="8">
        <v>8.8626838999999999E-2</v>
      </c>
      <c r="T492" s="8">
        <f t="shared" si="66"/>
        <v>7.4675917351226991E-6</v>
      </c>
      <c r="U492" s="8">
        <v>9.1465299999999997E-4</v>
      </c>
      <c r="V492" s="8">
        <f t="shared" si="67"/>
        <v>7.7067570731087253E-8</v>
      </c>
      <c r="W492" s="8">
        <v>2.4337109999999999E-3</v>
      </c>
      <c r="X492" s="8">
        <f t="shared" si="68"/>
        <v>6.4936215793214872E-12</v>
      </c>
      <c r="Y492" s="8"/>
      <c r="Z492" s="8">
        <f t="shared" si="69"/>
        <v>0</v>
      </c>
      <c r="AA492" s="8">
        <v>8.3330790000000002E-3</v>
      </c>
      <c r="AB492" s="8">
        <f t="shared" si="70"/>
        <v>7.0213529638041737E-7</v>
      </c>
      <c r="AC492" s="8">
        <v>0.86491996199999999</v>
      </c>
      <c r="AD492" s="18">
        <f t="shared" si="71"/>
        <v>7.287712427353794E-5</v>
      </c>
      <c r="AE492" s="9">
        <v>25.2</v>
      </c>
      <c r="AF492" s="10">
        <v>33.799999999999997</v>
      </c>
      <c r="AG492" s="10">
        <v>31.1</v>
      </c>
      <c r="AH492" s="10">
        <v>51.4</v>
      </c>
      <c r="AI492" s="10">
        <v>36.200000000000003</v>
      </c>
      <c r="AJ492" s="10">
        <v>40.299999999999997</v>
      </c>
      <c r="AK492" s="11">
        <v>11868.19555</v>
      </c>
      <c r="AL492" s="11">
        <v>68.635530200000005</v>
      </c>
      <c r="AM492" s="11">
        <v>2126.549062</v>
      </c>
      <c r="AN492" s="11">
        <v>25.3</v>
      </c>
      <c r="AO492" s="11">
        <v>42.628999999999998</v>
      </c>
      <c r="AP492" s="19">
        <v>2.7517798999999998</v>
      </c>
    </row>
    <row r="493" spans="2:42">
      <c r="B493" t="s">
        <v>131</v>
      </c>
      <c r="C493" t="s">
        <v>132</v>
      </c>
      <c r="D493" t="s">
        <v>133</v>
      </c>
      <c r="E493" t="s">
        <v>35</v>
      </c>
      <c r="F493" t="s">
        <v>36</v>
      </c>
      <c r="G493" t="s">
        <v>37</v>
      </c>
      <c r="H493" t="s">
        <v>38</v>
      </c>
      <c r="I493" t="s">
        <v>39</v>
      </c>
      <c r="J493" t="s">
        <v>40</v>
      </c>
      <c r="K493">
        <v>2018</v>
      </c>
      <c r="L493">
        <v>1.3758629020900901</v>
      </c>
      <c r="M493" s="17">
        <v>12.0824506</v>
      </c>
      <c r="N493" s="7">
        <f t="shared" si="63"/>
        <v>2.0541656615657736E-4</v>
      </c>
      <c r="O493" s="8">
        <v>12.54095077</v>
      </c>
      <c r="P493" s="8">
        <f t="shared" si="64"/>
        <v>2.1321163469206197E-4</v>
      </c>
      <c r="Q493" s="8">
        <v>0.29398256900000003</v>
      </c>
      <c r="R493" s="8">
        <f t="shared" si="65"/>
        <v>4.9980663553359846E-6</v>
      </c>
      <c r="S493" s="8">
        <v>2.1156920989999999</v>
      </c>
      <c r="T493" s="8">
        <f t="shared" si="66"/>
        <v>3.5969375783848145E-5</v>
      </c>
      <c r="U493" s="8">
        <v>1.9473681999999999E-2</v>
      </c>
      <c r="V493" s="8">
        <f t="shared" si="67"/>
        <v>3.3107661841920956E-7</v>
      </c>
      <c r="W493" s="8">
        <v>0.12730761600000001</v>
      </c>
      <c r="X493" s="8">
        <f t="shared" si="68"/>
        <v>5.6287109578917278E-12</v>
      </c>
      <c r="Y493" s="8">
        <v>8.9246079000000006E-2</v>
      </c>
      <c r="Z493" s="8">
        <f t="shared" si="69"/>
        <v>1.5172934446856859E-6</v>
      </c>
      <c r="AA493" s="8">
        <v>7.2035064999999995E-2</v>
      </c>
      <c r="AB493" s="8">
        <f t="shared" si="70"/>
        <v>1.2246849736895137E-6</v>
      </c>
      <c r="AC493" s="8">
        <v>5.7769962440000002</v>
      </c>
      <c r="AD493" s="18">
        <f t="shared" si="71"/>
        <v>9.8216063150460972E-5</v>
      </c>
      <c r="AE493" s="9">
        <v>95.2</v>
      </c>
      <c r="AF493" s="10">
        <v>96.2</v>
      </c>
      <c r="AG493" s="10">
        <v>75.5</v>
      </c>
      <c r="AH493" s="10">
        <v>99</v>
      </c>
      <c r="AI493" s="10">
        <v>95.7</v>
      </c>
      <c r="AJ493" s="10">
        <v>96.1</v>
      </c>
      <c r="AK493" s="11">
        <v>58819.260909999997</v>
      </c>
      <c r="AL493" s="11">
        <v>54.143154099999997</v>
      </c>
      <c r="AM493" s="11">
        <v>6790.7702719999997</v>
      </c>
      <c r="AN493" s="11">
        <v>7.4</v>
      </c>
      <c r="AO493" s="11">
        <v>91.49</v>
      </c>
      <c r="AP493" s="19">
        <v>-30.777526999999999</v>
      </c>
    </row>
    <row r="494" spans="2:42">
      <c r="B494" t="s">
        <v>134</v>
      </c>
      <c r="C494" t="s">
        <v>135</v>
      </c>
      <c r="D494" t="s">
        <v>136</v>
      </c>
      <c r="E494" t="s">
        <v>35</v>
      </c>
      <c r="F494" t="s">
        <v>36</v>
      </c>
      <c r="G494" t="s">
        <v>37</v>
      </c>
      <c r="H494" t="s">
        <v>38</v>
      </c>
      <c r="I494" t="s">
        <v>39</v>
      </c>
      <c r="J494" t="s">
        <v>40</v>
      </c>
      <c r="K494">
        <v>2018</v>
      </c>
      <c r="L494">
        <v>0.88046934353808504</v>
      </c>
      <c r="M494" s="17">
        <v>86.738611599999999</v>
      </c>
      <c r="N494" s="7">
        <f t="shared" si="63"/>
        <v>1.2346457323230543E-3</v>
      </c>
      <c r="O494" s="8">
        <v>2.8133261300000001</v>
      </c>
      <c r="P494" s="8">
        <f t="shared" si="64"/>
        <v>4.0045154470024215E-5</v>
      </c>
      <c r="Q494" s="8">
        <v>0.18388357499999999</v>
      </c>
      <c r="R494" s="8">
        <f t="shared" si="65"/>
        <v>2.6174164761251065E-6</v>
      </c>
      <c r="S494" s="8">
        <v>4.2932072330000004</v>
      </c>
      <c r="T494" s="8">
        <f t="shared" si="66"/>
        <v>6.1109924293530182E-5</v>
      </c>
      <c r="U494" s="8">
        <v>3.0816260000000002E-2</v>
      </c>
      <c r="V494" s="8">
        <f t="shared" si="67"/>
        <v>4.3864160600834022E-7</v>
      </c>
      <c r="W494" s="8">
        <v>2.1151128000000002E-2</v>
      </c>
      <c r="X494" s="8">
        <f t="shared" si="68"/>
        <v>6.2436667694774106E-12</v>
      </c>
      <c r="Y494" s="8">
        <v>0.11840521699999999</v>
      </c>
      <c r="Z494" s="8">
        <f t="shared" si="69"/>
        <v>1.6853912364656197E-6</v>
      </c>
      <c r="AA494" s="8">
        <v>3.3313296999999999E-2</v>
      </c>
      <c r="AB494" s="8">
        <f t="shared" si="70"/>
        <v>4.7418467060937379E-7</v>
      </c>
      <c r="AC494" s="8">
        <v>0.88774165299999996</v>
      </c>
      <c r="AD494" s="18">
        <f t="shared" si="71"/>
        <v>1.2636199992874497E-5</v>
      </c>
      <c r="AE494" s="9">
        <v>97.6</v>
      </c>
      <c r="AF494" s="10">
        <v>97.1</v>
      </c>
      <c r="AG494" s="10">
        <v>89.6</v>
      </c>
      <c r="AH494" s="10">
        <v>96.7</v>
      </c>
      <c r="AI494" s="10">
        <v>99.5</v>
      </c>
      <c r="AJ494" s="10">
        <v>100</v>
      </c>
      <c r="AK494" s="11">
        <v>70253.846369999999</v>
      </c>
      <c r="AL494" s="11">
        <v>2.7013376899999999</v>
      </c>
      <c r="AM494" s="11">
        <v>24357.312880000001</v>
      </c>
      <c r="AN494" s="11">
        <v>58.9</v>
      </c>
      <c r="AO494" s="11">
        <v>82.248000000000005</v>
      </c>
      <c r="AP494" s="19">
        <v>-1.2879640000000001</v>
      </c>
    </row>
    <row r="495" spans="2:42">
      <c r="B495" t="s">
        <v>137</v>
      </c>
      <c r="C495" t="s">
        <v>138</v>
      </c>
      <c r="D495" t="s">
        <v>139</v>
      </c>
      <c r="E495" t="s">
        <v>35</v>
      </c>
      <c r="F495" t="s">
        <v>36</v>
      </c>
      <c r="G495" t="s">
        <v>37</v>
      </c>
      <c r="H495" t="s">
        <v>38</v>
      </c>
      <c r="I495" t="s">
        <v>39</v>
      </c>
      <c r="J495" t="s">
        <v>40</v>
      </c>
      <c r="K495">
        <v>2018</v>
      </c>
      <c r="L495">
        <v>0.49046807648163698</v>
      </c>
      <c r="M495" s="17">
        <v>1.1589289199999999</v>
      </c>
      <c r="N495" s="7">
        <f t="shared" si="63"/>
        <v>3.5830115942227215E-5</v>
      </c>
      <c r="O495" s="8">
        <v>19.848563909999999</v>
      </c>
      <c r="P495" s="8">
        <f t="shared" si="64"/>
        <v>6.1364966729970537E-4</v>
      </c>
      <c r="Q495" s="8">
        <v>4.7784066760000004</v>
      </c>
      <c r="R495" s="8">
        <f t="shared" si="65"/>
        <v>1.4773198102623292E-4</v>
      </c>
      <c r="S495" s="8">
        <v>17.94020622</v>
      </c>
      <c r="T495" s="8">
        <f t="shared" si="66"/>
        <v>5.5464977859907578E-4</v>
      </c>
      <c r="U495" s="8">
        <v>0.131036451</v>
      </c>
      <c r="V495" s="8">
        <f t="shared" si="67"/>
        <v>4.0511986118941411E-6</v>
      </c>
      <c r="W495" s="8">
        <v>0.101637595</v>
      </c>
      <c r="X495" s="8">
        <f t="shared" si="68"/>
        <v>1.2524919644697196E-10</v>
      </c>
      <c r="Y495" s="8">
        <v>2.2150053999999999E-2</v>
      </c>
      <c r="Z495" s="8">
        <f t="shared" si="69"/>
        <v>6.8480386437038245E-7</v>
      </c>
      <c r="AA495" s="8">
        <v>0.22116080599999999</v>
      </c>
      <c r="AB495" s="8">
        <f t="shared" si="70"/>
        <v>6.8375352311135877E-6</v>
      </c>
      <c r="AC495" s="8">
        <v>9.1431346369999993</v>
      </c>
      <c r="AD495" s="18">
        <f t="shared" si="71"/>
        <v>2.8267443193936656E-4</v>
      </c>
      <c r="AE495" s="9">
        <v>73.3</v>
      </c>
      <c r="AF495" s="10">
        <v>71.900000000000006</v>
      </c>
      <c r="AG495" s="10">
        <v>62.7</v>
      </c>
      <c r="AH495" s="10">
        <v>78.599999999999994</v>
      </c>
      <c r="AI495" s="10">
        <v>64.3</v>
      </c>
      <c r="AJ495" s="10">
        <v>70.900000000000006</v>
      </c>
      <c r="AK495" s="11">
        <v>32345.106609999999</v>
      </c>
      <c r="AL495" s="11">
        <v>47.398504099999997</v>
      </c>
      <c r="AM495" s="11">
        <v>4393.419312</v>
      </c>
      <c r="AN495" s="11">
        <v>15.1</v>
      </c>
      <c r="AO495" s="11">
        <v>60.058</v>
      </c>
      <c r="AP495" s="19">
        <v>3.3480395500000002</v>
      </c>
    </row>
    <row r="496" spans="2:42">
      <c r="B496" t="s">
        <v>140</v>
      </c>
      <c r="C496" t="s">
        <v>141</v>
      </c>
      <c r="D496" t="s">
        <v>142</v>
      </c>
      <c r="E496" t="s">
        <v>35</v>
      </c>
      <c r="F496" t="s">
        <v>36</v>
      </c>
      <c r="G496" t="s">
        <v>37</v>
      </c>
      <c r="H496" t="s">
        <v>38</v>
      </c>
      <c r="I496" t="s">
        <v>39</v>
      </c>
      <c r="J496" t="s">
        <v>40</v>
      </c>
      <c r="K496">
        <v>2018</v>
      </c>
      <c r="L496">
        <v>0.60275693742500602</v>
      </c>
      <c r="M496" s="17">
        <v>67.313301699999997</v>
      </c>
      <c r="N496" s="7">
        <f t="shared" si="63"/>
        <v>1.9289248003567768E-3</v>
      </c>
      <c r="O496" s="8">
        <v>5.14499643</v>
      </c>
      <c r="P496" s="8">
        <f t="shared" si="64"/>
        <v>1.4743462229507723E-4</v>
      </c>
      <c r="Q496" s="8">
        <v>0.284772091</v>
      </c>
      <c r="R496" s="8">
        <f t="shared" si="65"/>
        <v>8.1604071544058119E-6</v>
      </c>
      <c r="S496" s="8">
        <v>0.64109878099999995</v>
      </c>
      <c r="T496" s="8">
        <f t="shared" si="66"/>
        <v>1.8371277398645237E-5</v>
      </c>
      <c r="U496" s="8">
        <v>4.4709817999999998E-2</v>
      </c>
      <c r="V496" s="8">
        <f t="shared" si="67"/>
        <v>1.2812011085713514E-6</v>
      </c>
      <c r="W496" s="8">
        <v>4.5458076E-2</v>
      </c>
      <c r="X496" s="8">
        <f t="shared" si="68"/>
        <v>3.6714000504418509E-11</v>
      </c>
      <c r="Y496" s="8">
        <v>2.0227579999999999E-3</v>
      </c>
      <c r="Z496" s="8">
        <f t="shared" si="69"/>
        <v>5.7963997795105531E-8</v>
      </c>
      <c r="AA496" s="8">
        <v>2.483223E-2</v>
      </c>
      <c r="AB496" s="8">
        <f t="shared" si="70"/>
        <v>7.1159047447472878E-7</v>
      </c>
      <c r="AC496" s="8">
        <v>3.4965706249999999</v>
      </c>
      <c r="AD496" s="18">
        <f t="shared" si="71"/>
        <v>1.0019745911173297E-4</v>
      </c>
      <c r="AE496" s="9">
        <v>79</v>
      </c>
      <c r="AF496" s="10">
        <v>85.2</v>
      </c>
      <c r="AG496" s="10">
        <v>89.2</v>
      </c>
      <c r="AH496" s="10">
        <v>79</v>
      </c>
      <c r="AI496" s="10">
        <v>84.3</v>
      </c>
      <c r="AJ496" s="10">
        <v>87.9</v>
      </c>
      <c r="AK496" s="11">
        <v>34896.799339999998</v>
      </c>
      <c r="AL496" s="11">
        <v>40.791900300000002</v>
      </c>
      <c r="AM496" s="11">
        <v>5048.609359</v>
      </c>
      <c r="AN496" s="11">
        <v>27.5</v>
      </c>
      <c r="AO496" s="11">
        <v>65.210999999999999</v>
      </c>
      <c r="AP496" s="19">
        <v>3.4658428699999999</v>
      </c>
    </row>
    <row r="497" spans="2:42">
      <c r="B497" t="s">
        <v>143</v>
      </c>
      <c r="C497" t="s">
        <v>144</v>
      </c>
      <c r="D497" t="s">
        <v>145</v>
      </c>
      <c r="E497" t="s">
        <v>35</v>
      </c>
      <c r="F497" t="s">
        <v>36</v>
      </c>
      <c r="G497" t="s">
        <v>37</v>
      </c>
      <c r="H497" t="s">
        <v>38</v>
      </c>
      <c r="I497" t="s">
        <v>39</v>
      </c>
      <c r="J497" t="s">
        <v>40</v>
      </c>
      <c r="K497">
        <v>2018</v>
      </c>
      <c r="L497">
        <v>0.73181584874257699</v>
      </c>
      <c r="M497" s="17">
        <v>11.438307399999999</v>
      </c>
      <c r="N497" s="7">
        <f t="shared" si="63"/>
        <v>3.8661196971995682E-4</v>
      </c>
      <c r="O497" s="8">
        <v>9.266780464</v>
      </c>
      <c r="P497" s="8">
        <f t="shared" si="64"/>
        <v>3.132148947272964E-4</v>
      </c>
      <c r="Q497" s="8">
        <v>1.1453748580000001</v>
      </c>
      <c r="R497" s="8">
        <f t="shared" si="65"/>
        <v>3.871338777965487E-5</v>
      </c>
      <c r="S497" s="8">
        <v>3.2854739099999999</v>
      </c>
      <c r="T497" s="8">
        <f t="shared" si="66"/>
        <v>1.1104820804244412E-4</v>
      </c>
      <c r="U497" s="8">
        <v>2.4209268999999999E-2</v>
      </c>
      <c r="V497" s="8">
        <f t="shared" si="67"/>
        <v>8.1826732280077469E-7</v>
      </c>
      <c r="W497" s="8">
        <v>1.7650341E-2</v>
      </c>
      <c r="X497" s="8">
        <f t="shared" si="68"/>
        <v>2.7657233746444273E-11</v>
      </c>
      <c r="Y497" s="8">
        <v>4.4328698999999999E-2</v>
      </c>
      <c r="Z497" s="8">
        <f t="shared" si="69"/>
        <v>1.4982990958533848E-6</v>
      </c>
      <c r="AA497" s="8">
        <v>2.5460403999999999E-2</v>
      </c>
      <c r="AB497" s="8">
        <f t="shared" si="70"/>
        <v>8.6055537730222812E-7</v>
      </c>
      <c r="AC497" s="8">
        <v>8.6689210889999995</v>
      </c>
      <c r="AD497" s="18">
        <f t="shared" si="71"/>
        <v>2.9300739526944025E-4</v>
      </c>
      <c r="AE497" s="9">
        <v>48.1</v>
      </c>
      <c r="AF497" s="10">
        <v>46.7</v>
      </c>
      <c r="AG497" s="10">
        <v>49.1</v>
      </c>
      <c r="AH497" s="10">
        <v>67.099999999999994</v>
      </c>
      <c r="AI497" s="10">
        <v>63.3</v>
      </c>
      <c r="AJ497" s="10">
        <v>65.5</v>
      </c>
      <c r="AK497" s="11">
        <v>29586.014650000001</v>
      </c>
      <c r="AL497" s="11">
        <v>58.301460400000003</v>
      </c>
      <c r="AM497" s="11">
        <v>2838.455641</v>
      </c>
      <c r="AN497" s="11">
        <v>23</v>
      </c>
      <c r="AO497" s="11">
        <v>53.997999999999998</v>
      </c>
      <c r="AP497" s="19">
        <v>3.0162236999999998</v>
      </c>
    </row>
    <row r="498" spans="2:42">
      <c r="B498" t="s">
        <v>146</v>
      </c>
      <c r="C498" t="s">
        <v>147</v>
      </c>
      <c r="D498" t="s">
        <v>148</v>
      </c>
      <c r="E498" t="s">
        <v>35</v>
      </c>
      <c r="F498" t="s">
        <v>36</v>
      </c>
      <c r="G498" t="s">
        <v>37</v>
      </c>
      <c r="H498" t="s">
        <v>38</v>
      </c>
      <c r="I498" t="s">
        <v>39</v>
      </c>
      <c r="J498" t="s">
        <v>40</v>
      </c>
      <c r="K498">
        <v>2018</v>
      </c>
      <c r="L498">
        <v>0.80214938818138404</v>
      </c>
      <c r="M498" s="17">
        <v>1.09247786</v>
      </c>
      <c r="N498" s="7">
        <f t="shared" si="63"/>
        <v>3.4671029667329351E-5</v>
      </c>
      <c r="O498" s="8">
        <v>1.6081312320000001</v>
      </c>
      <c r="P498" s="8">
        <f t="shared" si="64"/>
        <v>5.1035876968372522E-5</v>
      </c>
      <c r="Q498" s="8">
        <v>4.7073680999999999E-2</v>
      </c>
      <c r="R498" s="8">
        <f t="shared" si="65"/>
        <v>1.4939369027591991E-6</v>
      </c>
      <c r="S498" s="8">
        <v>0.68795325100000004</v>
      </c>
      <c r="T498" s="8">
        <f t="shared" si="66"/>
        <v>2.1832980281318173E-5</v>
      </c>
      <c r="U498" s="8">
        <v>2.6270206000000001E-2</v>
      </c>
      <c r="V498" s="8">
        <f t="shared" si="67"/>
        <v>8.3371491994616118E-7</v>
      </c>
      <c r="W498" s="8">
        <v>1.9649058E-2</v>
      </c>
      <c r="X498" s="8">
        <f t="shared" si="68"/>
        <v>2.6458892927631932E-11</v>
      </c>
      <c r="Y498" s="8">
        <v>1.4991770999999999E-2</v>
      </c>
      <c r="Z498" s="8">
        <f t="shared" si="69"/>
        <v>4.7578093445921895E-7</v>
      </c>
      <c r="AA498" s="8">
        <v>6.6871810000000004E-3</v>
      </c>
      <c r="AB498" s="8">
        <f t="shared" si="70"/>
        <v>2.122253084760923E-7</v>
      </c>
      <c r="AC498" s="8">
        <v>3.4898931389999999</v>
      </c>
      <c r="AD498" s="18">
        <f t="shared" si="71"/>
        <v>1.1075573518540517E-4</v>
      </c>
      <c r="AE498" s="9">
        <v>61.4</v>
      </c>
      <c r="AF498" s="10">
        <v>72.400000000000006</v>
      </c>
      <c r="AG498" s="10">
        <v>70.3</v>
      </c>
      <c r="AH498" s="10">
        <v>75.7</v>
      </c>
      <c r="AI498" s="10">
        <v>68.599999999999994</v>
      </c>
      <c r="AJ498" s="10">
        <v>75.2</v>
      </c>
      <c r="AK498" s="11">
        <v>31509.818729999999</v>
      </c>
      <c r="AL498" s="11">
        <v>39.2886855</v>
      </c>
      <c r="AM498" s="11">
        <v>5400.9981330000001</v>
      </c>
      <c r="AN498" s="11">
        <v>12.4</v>
      </c>
      <c r="AO498" s="11">
        <v>53.725999999999999</v>
      </c>
      <c r="AP498" s="19">
        <v>2.1126953199999998</v>
      </c>
    </row>
    <row r="499" spans="2:42">
      <c r="B499" t="s">
        <v>149</v>
      </c>
      <c r="C499" t="s">
        <v>150</v>
      </c>
      <c r="D499" t="s">
        <v>151</v>
      </c>
      <c r="E499" t="s">
        <v>35</v>
      </c>
      <c r="F499" t="s">
        <v>36</v>
      </c>
      <c r="G499" t="s">
        <v>37</v>
      </c>
      <c r="H499" t="s">
        <v>38</v>
      </c>
      <c r="I499" t="s">
        <v>39</v>
      </c>
      <c r="J499" t="s">
        <v>40</v>
      </c>
      <c r="K499">
        <v>2018</v>
      </c>
      <c r="L499">
        <v>0.54055361918899303</v>
      </c>
      <c r="M499" s="17">
        <v>73.826458900000006</v>
      </c>
      <c r="N499" s="7">
        <f t="shared" si="63"/>
        <v>1.9116019653271368E-3</v>
      </c>
      <c r="O499" s="8">
        <v>1.583976273</v>
      </c>
      <c r="P499" s="8">
        <f t="shared" si="64"/>
        <v>4.1014186534393743E-5</v>
      </c>
      <c r="Q499" s="8">
        <v>0.15570389700000001</v>
      </c>
      <c r="R499" s="8">
        <f t="shared" si="65"/>
        <v>4.0316694034785143E-6</v>
      </c>
      <c r="S499" s="8">
        <v>1.0522501799999999</v>
      </c>
      <c r="T499" s="8">
        <f t="shared" si="66"/>
        <v>2.7246105828107558E-5</v>
      </c>
      <c r="U499" s="8">
        <v>5.4240699999999996E-3</v>
      </c>
      <c r="V499" s="8">
        <f t="shared" si="67"/>
        <v>1.4044643379301998E-7</v>
      </c>
      <c r="W499" s="8">
        <v>4.1231610000000002E-3</v>
      </c>
      <c r="X499" s="8">
        <f t="shared" si="68"/>
        <v>3.636605125888336E-12</v>
      </c>
      <c r="Y499" s="8">
        <v>6.4400000000000004E-3</v>
      </c>
      <c r="Z499" s="8">
        <f t="shared" si="69"/>
        <v>1.6675209457603771E-7</v>
      </c>
      <c r="AA499" s="8">
        <v>6.546039E-3</v>
      </c>
      <c r="AB499" s="8">
        <f t="shared" si="70"/>
        <v>1.6949778174323464E-7</v>
      </c>
      <c r="AC499" s="8">
        <v>0.45086157599999999</v>
      </c>
      <c r="AD499" s="18">
        <f t="shared" si="71"/>
        <v>1.1674241018921335E-5</v>
      </c>
      <c r="AE499" s="9">
        <v>79.5</v>
      </c>
      <c r="AF499" s="10">
        <v>82.4</v>
      </c>
      <c r="AG499" s="10">
        <v>78.3</v>
      </c>
      <c r="AH499" s="10">
        <v>73.8</v>
      </c>
      <c r="AI499" s="10">
        <v>82.4</v>
      </c>
      <c r="AJ499" s="10">
        <v>78.599999999999994</v>
      </c>
      <c r="AK499" s="11">
        <v>38620.204539999999</v>
      </c>
      <c r="AL499" s="11">
        <v>30.392721600000002</v>
      </c>
      <c r="AM499" s="11">
        <v>7206.2506569999996</v>
      </c>
      <c r="AN499" s="11">
        <v>20.6</v>
      </c>
      <c r="AO499" s="11">
        <v>54.540999999999997</v>
      </c>
      <c r="AP499" s="19">
        <v>2.8648991000000001</v>
      </c>
    </row>
    <row r="500" spans="2:42">
      <c r="B500" t="s">
        <v>152</v>
      </c>
      <c r="C500" t="s">
        <v>153</v>
      </c>
      <c r="D500" t="s">
        <v>154</v>
      </c>
      <c r="E500" t="s">
        <v>35</v>
      </c>
      <c r="F500" t="s">
        <v>36</v>
      </c>
      <c r="G500" t="s">
        <v>37</v>
      </c>
      <c r="H500" t="s">
        <v>38</v>
      </c>
      <c r="I500" t="s">
        <v>39</v>
      </c>
      <c r="J500" t="s">
        <v>40</v>
      </c>
      <c r="K500">
        <v>2018</v>
      </c>
      <c r="L500">
        <v>0.84088296867091805</v>
      </c>
      <c r="M500" s="17">
        <v>1.09247786</v>
      </c>
      <c r="N500" s="7">
        <f t="shared" si="63"/>
        <v>2.6635954878512376E-5</v>
      </c>
      <c r="O500" s="8">
        <v>28.059079029999999</v>
      </c>
      <c r="P500" s="8">
        <f t="shared" si="64"/>
        <v>6.8411488263541809E-4</v>
      </c>
      <c r="Q500" s="8">
        <v>0.847370552</v>
      </c>
      <c r="R500" s="8">
        <f t="shared" si="65"/>
        <v>2.0659937024675377E-5</v>
      </c>
      <c r="S500" s="8">
        <v>1.250859481</v>
      </c>
      <c r="T500" s="8">
        <f t="shared" si="66"/>
        <v>3.0497493738935275E-5</v>
      </c>
      <c r="U500" s="8">
        <v>9.7049057999999994E-2</v>
      </c>
      <c r="V500" s="8">
        <f t="shared" si="67"/>
        <v>2.3661754846822528E-6</v>
      </c>
      <c r="W500" s="8">
        <v>0.118980796</v>
      </c>
      <c r="X500" s="8">
        <f t="shared" si="68"/>
        <v>5.7690270670234572E-11</v>
      </c>
      <c r="Y500" s="8">
        <v>4.3148104999999999E-2</v>
      </c>
      <c r="Z500" s="8">
        <f t="shared" si="69"/>
        <v>1.0520039077710136E-6</v>
      </c>
      <c r="AA500" s="8">
        <v>0.14895792099999999</v>
      </c>
      <c r="AB500" s="8">
        <f t="shared" si="70"/>
        <v>3.6317774554744852E-6</v>
      </c>
      <c r="AC500" s="8">
        <v>15.67783983</v>
      </c>
      <c r="AD500" s="18">
        <f t="shared" si="71"/>
        <v>3.8224503177064305E-4</v>
      </c>
      <c r="AE500" s="9">
        <v>72.900000000000006</v>
      </c>
      <c r="AF500" s="10">
        <v>79</v>
      </c>
      <c r="AG500" s="10">
        <v>56.6</v>
      </c>
      <c r="AH500" s="10">
        <v>80.5</v>
      </c>
      <c r="AI500" s="10">
        <v>80.5</v>
      </c>
      <c r="AJ500" s="10">
        <v>81.599999999999994</v>
      </c>
      <c r="AK500" s="11">
        <v>41015.156580000003</v>
      </c>
      <c r="AL500" s="11">
        <v>52.4082097</v>
      </c>
      <c r="AM500" s="11">
        <v>5556.7940420000004</v>
      </c>
      <c r="AN500" s="11">
        <v>16.899999999999999</v>
      </c>
      <c r="AO500" s="11">
        <v>80.320999999999998</v>
      </c>
      <c r="AP500" s="19">
        <v>4.4674851000000002</v>
      </c>
    </row>
    <row r="501" spans="2:42">
      <c r="B501" t="s">
        <v>155</v>
      </c>
      <c r="C501" t="s">
        <v>156</v>
      </c>
      <c r="D501" t="s">
        <v>157</v>
      </c>
      <c r="E501" t="s">
        <v>35</v>
      </c>
      <c r="F501" t="s">
        <v>36</v>
      </c>
      <c r="G501" t="s">
        <v>37</v>
      </c>
      <c r="H501" t="s">
        <v>38</v>
      </c>
      <c r="I501" t="s">
        <v>39</v>
      </c>
      <c r="J501" t="s">
        <v>40</v>
      </c>
      <c r="K501">
        <v>2018</v>
      </c>
      <c r="L501">
        <v>0.50094173815826903</v>
      </c>
      <c r="M501" s="17">
        <v>53.675864599999997</v>
      </c>
      <c r="N501" s="7">
        <f t="shared" si="63"/>
        <v>1.0104179313629356E-3</v>
      </c>
      <c r="O501" s="8">
        <v>4.0083193179999999</v>
      </c>
      <c r="P501" s="8">
        <f t="shared" si="64"/>
        <v>7.5454354461123172E-5</v>
      </c>
      <c r="Q501" s="8">
        <v>0.34351829900000003</v>
      </c>
      <c r="R501" s="8">
        <f t="shared" si="65"/>
        <v>6.4665385764628086E-6</v>
      </c>
      <c r="S501" s="8">
        <v>0.167543092</v>
      </c>
      <c r="T501" s="8">
        <f t="shared" si="66"/>
        <v>3.1539043794515798E-6</v>
      </c>
      <c r="U501" s="8">
        <v>0.169192655</v>
      </c>
      <c r="V501" s="8">
        <f t="shared" si="67"/>
        <v>3.1849564742158408E-6</v>
      </c>
      <c r="W501" s="8">
        <v>0.20634745299999999</v>
      </c>
      <c r="X501" s="8">
        <f t="shared" si="68"/>
        <v>5.9955012483546633E-11</v>
      </c>
      <c r="Y501" s="8">
        <v>1.1267322999999999E-2</v>
      </c>
      <c r="Z501" s="8">
        <f t="shared" si="69"/>
        <v>2.1210101192590806E-7</v>
      </c>
      <c r="AA501" s="8">
        <v>8.3779456000000002E-2</v>
      </c>
      <c r="AB501" s="8">
        <f t="shared" si="70"/>
        <v>1.5771010910224275E-6</v>
      </c>
      <c r="AC501" s="8">
        <v>3.1378143779999998</v>
      </c>
      <c r="AD501" s="18">
        <f t="shared" si="71"/>
        <v>5.9067589063477083E-5</v>
      </c>
      <c r="AE501" s="9">
        <v>98.1</v>
      </c>
      <c r="AF501" s="10">
        <v>94.3</v>
      </c>
      <c r="AG501" s="10">
        <v>79.2</v>
      </c>
      <c r="AH501" s="10">
        <v>97.6</v>
      </c>
      <c r="AI501" s="10">
        <v>97.1</v>
      </c>
      <c r="AJ501" s="10">
        <v>98.1</v>
      </c>
      <c r="AK501" s="11">
        <v>53122.438679999999</v>
      </c>
      <c r="AL501" s="11">
        <v>7.3663432899999997</v>
      </c>
      <c r="AM501" s="11">
        <v>13330.43217</v>
      </c>
      <c r="AN501" s="11">
        <v>51.6</v>
      </c>
      <c r="AO501" s="11">
        <v>87.430999999999997</v>
      </c>
      <c r="AP501" s="19">
        <v>-0.12953690000000001</v>
      </c>
    </row>
    <row r="502" spans="2:42">
      <c r="B502" t="s">
        <v>158</v>
      </c>
      <c r="C502" t="s">
        <v>159</v>
      </c>
      <c r="D502" t="s">
        <v>160</v>
      </c>
      <c r="E502" t="s">
        <v>35</v>
      </c>
      <c r="F502" t="s">
        <v>36</v>
      </c>
      <c r="G502" t="s">
        <v>37</v>
      </c>
      <c r="H502" t="s">
        <v>38</v>
      </c>
      <c r="I502" t="s">
        <v>39</v>
      </c>
      <c r="J502" t="s">
        <v>40</v>
      </c>
      <c r="K502">
        <v>2018</v>
      </c>
      <c r="L502">
        <v>0.55758755676013605</v>
      </c>
      <c r="M502" s="17">
        <v>73.826458900000006</v>
      </c>
      <c r="N502" s="7">
        <f t="shared" si="63"/>
        <v>1.0443866541481853E-3</v>
      </c>
      <c r="O502" s="8">
        <v>4.1677182039999998</v>
      </c>
      <c r="P502" s="8">
        <f t="shared" si="64"/>
        <v>5.8958662454661534E-5</v>
      </c>
      <c r="Q502" s="8">
        <v>0.258080647</v>
      </c>
      <c r="R502" s="8">
        <f t="shared" si="65"/>
        <v>3.6509401566425237E-6</v>
      </c>
      <c r="S502" s="8">
        <v>0.84247636699999995</v>
      </c>
      <c r="T502" s="8">
        <f t="shared" si="66"/>
        <v>1.1918099381169809E-5</v>
      </c>
      <c r="U502" s="8">
        <v>1.8782736000000001E-2</v>
      </c>
      <c r="V502" s="8">
        <f t="shared" si="67"/>
        <v>2.6571014103980906E-7</v>
      </c>
      <c r="W502" s="8">
        <v>4.5392697000000003E-2</v>
      </c>
      <c r="X502" s="8">
        <f t="shared" si="68"/>
        <v>3.7588708615930722E-12</v>
      </c>
      <c r="Y502" s="8">
        <v>2.90332E-3</v>
      </c>
      <c r="Z502" s="8">
        <f t="shared" si="69"/>
        <v>4.1071842072619153E-8</v>
      </c>
      <c r="AA502" s="8">
        <v>2.6293949E-2</v>
      </c>
      <c r="AB502" s="8">
        <f t="shared" si="70"/>
        <v>3.7196758221398342E-7</v>
      </c>
      <c r="AC502" s="8">
        <v>0.23120254000000001</v>
      </c>
      <c r="AD502" s="18">
        <f t="shared" si="71"/>
        <v>3.2707087781120969E-6</v>
      </c>
      <c r="AE502" s="9">
        <v>96.7</v>
      </c>
      <c r="AF502" s="10">
        <v>99</v>
      </c>
      <c r="AG502" s="10">
        <v>94.8</v>
      </c>
      <c r="AH502" s="10">
        <v>97.1</v>
      </c>
      <c r="AI502" s="10">
        <v>99</v>
      </c>
      <c r="AJ502" s="10">
        <v>99</v>
      </c>
      <c r="AK502" s="11">
        <v>70688.818750000006</v>
      </c>
      <c r="AL502" s="11">
        <v>38.182405199999998</v>
      </c>
      <c r="AM502" s="11">
        <v>7433.8212679999997</v>
      </c>
      <c r="AN502" s="11">
        <v>24.2</v>
      </c>
      <c r="AO502" s="11">
        <v>73.796999999999997</v>
      </c>
      <c r="AP502" s="19">
        <v>-22.105119999999999</v>
      </c>
    </row>
    <row r="503" spans="2:42">
      <c r="B503" t="s">
        <v>161</v>
      </c>
      <c r="C503" t="s">
        <v>162</v>
      </c>
      <c r="D503" t="s">
        <v>163</v>
      </c>
      <c r="E503" t="s">
        <v>35</v>
      </c>
      <c r="F503" t="s">
        <v>36</v>
      </c>
      <c r="G503" t="s">
        <v>37</v>
      </c>
      <c r="H503" t="s">
        <v>38</v>
      </c>
      <c r="I503" t="s">
        <v>39</v>
      </c>
      <c r="J503" t="s">
        <v>40</v>
      </c>
      <c r="K503">
        <v>2018</v>
      </c>
      <c r="L503">
        <v>0.37251236924762199</v>
      </c>
      <c r="M503" s="17">
        <v>75.633487400000007</v>
      </c>
      <c r="N503" s="7">
        <f t="shared" si="63"/>
        <v>2.6726184767125244E-3</v>
      </c>
      <c r="O503" s="8">
        <v>45.824475829999997</v>
      </c>
      <c r="P503" s="8">
        <f t="shared" si="64"/>
        <v>1.6192740147127536E-3</v>
      </c>
      <c r="Q503" s="8">
        <v>1.2826994009999999</v>
      </c>
      <c r="R503" s="8">
        <f t="shared" si="65"/>
        <v>4.532603529241317E-5</v>
      </c>
      <c r="S503" s="8">
        <v>8.1297367919999992</v>
      </c>
      <c r="T503" s="8">
        <f t="shared" si="66"/>
        <v>2.8727598723827722E-4</v>
      </c>
      <c r="U503" s="8">
        <v>0.109194307</v>
      </c>
      <c r="V503" s="8">
        <f t="shared" si="67"/>
        <v>3.8585384923030759E-6</v>
      </c>
      <c r="W503" s="8">
        <v>9.5820150000000007E-2</v>
      </c>
      <c r="X503" s="8">
        <f t="shared" si="68"/>
        <v>1.3634702857342641E-10</v>
      </c>
      <c r="Y503" s="8">
        <v>1.6990251000000001E-2</v>
      </c>
      <c r="Z503" s="8">
        <f t="shared" si="69"/>
        <v>6.0037504956545793E-7</v>
      </c>
      <c r="AA503" s="8">
        <v>0.31112123000000003</v>
      </c>
      <c r="AB503" s="8">
        <f t="shared" si="70"/>
        <v>1.0993917858077332E-5</v>
      </c>
      <c r="AC503" s="8">
        <v>56.75483586</v>
      </c>
      <c r="AD503" s="18">
        <f t="shared" si="71"/>
        <v>2.0055140675983496E-3</v>
      </c>
      <c r="AE503" s="9">
        <v>42.9</v>
      </c>
      <c r="AF503" s="10">
        <v>49.5</v>
      </c>
      <c r="AG503" s="10">
        <v>10.4</v>
      </c>
      <c r="AH503" s="10">
        <v>55.2</v>
      </c>
      <c r="AI503" s="10">
        <v>38.1</v>
      </c>
      <c r="AJ503" s="10">
        <v>24.8</v>
      </c>
      <c r="AK503" s="11">
        <v>28299.395540000001</v>
      </c>
      <c r="AL503" s="11">
        <v>49.117108199999997</v>
      </c>
      <c r="AM503" s="11">
        <v>3347.7626869999999</v>
      </c>
      <c r="AN503" s="11">
        <v>11.8</v>
      </c>
      <c r="AO503" s="11">
        <v>75.143000000000001</v>
      </c>
      <c r="AP503" s="19">
        <v>1.5982600499999999</v>
      </c>
    </row>
    <row r="504" spans="2:42">
      <c r="B504" t="s">
        <v>164</v>
      </c>
      <c r="C504" t="s">
        <v>165</v>
      </c>
      <c r="D504" t="s">
        <v>166</v>
      </c>
      <c r="E504" t="s">
        <v>35</v>
      </c>
      <c r="F504" t="s">
        <v>36</v>
      </c>
      <c r="G504" t="s">
        <v>37</v>
      </c>
      <c r="H504" t="s">
        <v>38</v>
      </c>
      <c r="I504" t="s">
        <v>39</v>
      </c>
      <c r="J504" t="s">
        <v>40</v>
      </c>
      <c r="K504">
        <v>2018</v>
      </c>
      <c r="L504">
        <v>0.13535314512190899</v>
      </c>
      <c r="M504" s="17">
        <v>47.287050600000001</v>
      </c>
      <c r="N504" s="7">
        <f t="shared" si="63"/>
        <v>2.0452367654062976E-2</v>
      </c>
      <c r="O504" s="8">
        <v>18.748903169999998</v>
      </c>
      <c r="P504" s="8">
        <f t="shared" si="64"/>
        <v>8.1091854086426524E-3</v>
      </c>
      <c r="Q504" s="8">
        <v>3.5064573609999998</v>
      </c>
      <c r="R504" s="8">
        <f t="shared" si="65"/>
        <v>1.5165960701822123E-3</v>
      </c>
      <c r="S504" s="8">
        <v>5.6692632600000001</v>
      </c>
      <c r="T504" s="8">
        <f t="shared" si="66"/>
        <v>2.4520424735729155E-3</v>
      </c>
      <c r="U504" s="8">
        <v>0.16216720900000001</v>
      </c>
      <c r="V504" s="8">
        <f t="shared" si="67"/>
        <v>7.0139781141293481E-5</v>
      </c>
      <c r="W504" s="8">
        <v>3.0716850000000002E-3</v>
      </c>
      <c r="X504" s="8">
        <f t="shared" si="68"/>
        <v>3.0336520736128278E-8</v>
      </c>
      <c r="Y504" s="8"/>
      <c r="Z504" s="8">
        <f t="shared" si="69"/>
        <v>0</v>
      </c>
      <c r="AA504" s="8">
        <v>2.2555544E-2</v>
      </c>
      <c r="AB504" s="8">
        <f t="shared" si="70"/>
        <v>9.7556153888226271E-6</v>
      </c>
      <c r="AC504" s="8">
        <v>3.2287608849999998</v>
      </c>
      <c r="AD504" s="18">
        <f t="shared" si="71"/>
        <v>1.3964881262245132E-3</v>
      </c>
      <c r="AE504" s="9">
        <v>13.8</v>
      </c>
      <c r="AF504" s="10">
        <v>24.3</v>
      </c>
      <c r="AG504" s="10">
        <v>21.2</v>
      </c>
      <c r="AH504" s="10">
        <v>41.4</v>
      </c>
      <c r="AI504" s="10">
        <v>41.4</v>
      </c>
      <c r="AJ504" s="10">
        <v>28.6</v>
      </c>
      <c r="AK504" s="11">
        <v>2312.0575279999998</v>
      </c>
      <c r="AL504" s="11">
        <v>71.888091000000003</v>
      </c>
      <c r="AM504" s="11">
        <v>75.230060960000003</v>
      </c>
      <c r="AN504" s="11">
        <v>90.5</v>
      </c>
      <c r="AO504" s="11">
        <v>23.774000000000001</v>
      </c>
      <c r="AP504" s="19">
        <v>3.20512811</v>
      </c>
    </row>
    <row r="505" spans="2:42">
      <c r="B505" t="s">
        <v>167</v>
      </c>
      <c r="C505" t="s">
        <v>168</v>
      </c>
      <c r="D505" t="s">
        <v>169</v>
      </c>
      <c r="E505" t="s">
        <v>35</v>
      </c>
      <c r="F505" t="s">
        <v>36</v>
      </c>
      <c r="G505" t="s">
        <v>37</v>
      </c>
      <c r="H505" t="s">
        <v>38</v>
      </c>
      <c r="I505" t="s">
        <v>39</v>
      </c>
      <c r="J505" t="s">
        <v>40</v>
      </c>
      <c r="K505">
        <v>2018</v>
      </c>
      <c r="L505">
        <v>0.231497215685636</v>
      </c>
      <c r="M505" s="17">
        <v>51026.627500000002</v>
      </c>
      <c r="N505" s="7">
        <f t="shared" si="63"/>
        <v>4.0642965123507029</v>
      </c>
      <c r="O505" s="8">
        <v>13.20499058</v>
      </c>
      <c r="P505" s="8">
        <f t="shared" si="64"/>
        <v>1.0517841329003741E-3</v>
      </c>
      <c r="Q505" s="8">
        <v>0.82263603200000002</v>
      </c>
      <c r="R505" s="8">
        <f t="shared" si="65"/>
        <v>6.552337317984853E-5</v>
      </c>
      <c r="S505" s="8">
        <v>41.155948610000003</v>
      </c>
      <c r="T505" s="8">
        <f t="shared" si="66"/>
        <v>3.2780919804685851E-3</v>
      </c>
      <c r="U505" s="8">
        <v>4.6997331000000003E-2</v>
      </c>
      <c r="V505" s="8">
        <f t="shared" si="67"/>
        <v>3.7433610221073609E-6</v>
      </c>
      <c r="W505" s="8">
        <v>5.8046463E-2</v>
      </c>
      <c r="X505" s="8">
        <f t="shared" si="68"/>
        <v>2.9816058579651398E-10</v>
      </c>
      <c r="Y505" s="8">
        <v>0.114174732</v>
      </c>
      <c r="Z505" s="8">
        <f t="shared" si="69"/>
        <v>9.0940747566782881E-6</v>
      </c>
      <c r="AA505" s="8">
        <v>0.100402773</v>
      </c>
      <c r="AB505" s="8">
        <f t="shared" si="70"/>
        <v>7.9971313043222241E-6</v>
      </c>
      <c r="AC505" s="8">
        <v>8.2636294939999999</v>
      </c>
      <c r="AD505" s="18">
        <f t="shared" si="71"/>
        <v>6.5820224022884136E-4</v>
      </c>
      <c r="AE505" s="9">
        <v>17.600000000000001</v>
      </c>
      <c r="AF505" s="10">
        <v>37.1</v>
      </c>
      <c r="AG505" s="10">
        <v>5.7</v>
      </c>
      <c r="AH505" s="10">
        <v>43.3</v>
      </c>
      <c r="AI505" s="10">
        <v>23.8</v>
      </c>
      <c r="AJ505" s="10">
        <v>43.7</v>
      </c>
      <c r="AK505" s="11">
        <v>12554.84863</v>
      </c>
      <c r="AL505" s="11">
        <v>71.330686900000003</v>
      </c>
      <c r="AM505" s="11">
        <v>3025.310919</v>
      </c>
      <c r="AN505" s="11">
        <v>6.9</v>
      </c>
      <c r="AO505" s="11">
        <v>69.352000000000004</v>
      </c>
      <c r="AP505" s="19">
        <v>3.8008699199999998</v>
      </c>
    </row>
    <row r="506" spans="2:42">
      <c r="B506" t="s">
        <v>170</v>
      </c>
      <c r="C506" t="s">
        <v>171</v>
      </c>
      <c r="D506" t="s">
        <v>172</v>
      </c>
      <c r="E506" t="s">
        <v>35</v>
      </c>
      <c r="F506" t="s">
        <v>36</v>
      </c>
      <c r="G506" t="s">
        <v>37</v>
      </c>
      <c r="H506" t="s">
        <v>38</v>
      </c>
      <c r="I506" t="s">
        <v>39</v>
      </c>
      <c r="J506" t="s">
        <v>40</v>
      </c>
      <c r="K506">
        <v>2018</v>
      </c>
      <c r="L506">
        <v>0.66313155934105406</v>
      </c>
      <c r="M506" s="17">
        <v>305.19952499999999</v>
      </c>
      <c r="N506" s="7">
        <f t="shared" si="63"/>
        <v>6.4644201240531265E-3</v>
      </c>
      <c r="O506" s="8">
        <v>32.84767222</v>
      </c>
      <c r="P506" s="8">
        <f t="shared" si="64"/>
        <v>6.9574535978477966E-4</v>
      </c>
      <c r="Q506" s="8">
        <v>0.79675264099999998</v>
      </c>
      <c r="R506" s="8">
        <f t="shared" si="65"/>
        <v>1.6875988933380143E-5</v>
      </c>
      <c r="S506" s="8">
        <v>4.367210204</v>
      </c>
      <c r="T506" s="8">
        <f t="shared" si="66"/>
        <v>9.250172171371421E-5</v>
      </c>
      <c r="U506" s="8">
        <v>7.4192446999999995E-2</v>
      </c>
      <c r="V506" s="8">
        <f t="shared" si="67"/>
        <v>1.5714675422235503E-6</v>
      </c>
      <c r="W506" s="8">
        <v>0.34118282500000002</v>
      </c>
      <c r="X506" s="8">
        <f t="shared" si="68"/>
        <v>3.3285197295920519E-11</v>
      </c>
      <c r="Y506" s="8">
        <v>6.6842733000000001E-2</v>
      </c>
      <c r="Z506" s="8">
        <f t="shared" si="69"/>
        <v>1.4157935152484593E-6</v>
      </c>
      <c r="AA506" s="8">
        <v>0.13814670400000001</v>
      </c>
      <c r="AB506" s="8">
        <f t="shared" si="70"/>
        <v>2.926080351564147E-6</v>
      </c>
      <c r="AC506" s="8">
        <v>9.7009466750000009</v>
      </c>
      <c r="AD506" s="18">
        <f t="shared" si="71"/>
        <v>2.0547540140580583E-4</v>
      </c>
      <c r="AE506" s="9">
        <v>94.8</v>
      </c>
      <c r="AF506" s="10">
        <v>88.6</v>
      </c>
      <c r="AG506" s="10">
        <v>50.5</v>
      </c>
      <c r="AH506" s="10">
        <v>95.7</v>
      </c>
      <c r="AI506" s="10">
        <v>91.9</v>
      </c>
      <c r="AJ506" s="10">
        <v>93.2</v>
      </c>
      <c r="AK506" s="11">
        <v>47212.204519999999</v>
      </c>
      <c r="AL506" s="11">
        <v>71.7185202</v>
      </c>
      <c r="AM506" s="11">
        <v>4901.8690880000004</v>
      </c>
      <c r="AN506" s="11">
        <v>10.199999999999999</v>
      </c>
      <c r="AO506" s="11">
        <v>83.397999999999996</v>
      </c>
      <c r="AP506" s="19">
        <v>-0.8726043</v>
      </c>
    </row>
    <row r="507" spans="2:42">
      <c r="B507" t="s">
        <v>173</v>
      </c>
      <c r="C507" t="s">
        <v>174</v>
      </c>
      <c r="D507" t="s">
        <v>175</v>
      </c>
      <c r="E507" t="s">
        <v>35</v>
      </c>
      <c r="F507" t="s">
        <v>36</v>
      </c>
      <c r="G507" t="s">
        <v>37</v>
      </c>
      <c r="H507" t="s">
        <v>38</v>
      </c>
      <c r="I507" t="s">
        <v>39</v>
      </c>
      <c r="J507" t="s">
        <v>40</v>
      </c>
      <c r="K507">
        <v>2018</v>
      </c>
      <c r="L507">
        <v>0.12508085769288799</v>
      </c>
      <c r="M507" s="17">
        <v>27.255061300000001</v>
      </c>
      <c r="N507" s="7">
        <f t="shared" si="63"/>
        <v>7.9177510702730207E-3</v>
      </c>
      <c r="O507" s="8">
        <v>5.0345127510000003</v>
      </c>
      <c r="P507" s="8">
        <f t="shared" si="64"/>
        <v>1.4625547263962097E-3</v>
      </c>
      <c r="Q507" s="8">
        <v>1.736297768</v>
      </c>
      <c r="R507" s="8">
        <f t="shared" si="65"/>
        <v>5.0440442454241182E-4</v>
      </c>
      <c r="S507" s="8">
        <v>3.8455361269999999</v>
      </c>
      <c r="T507" s="8">
        <f t="shared" si="66"/>
        <v>1.1171502221250854E-3</v>
      </c>
      <c r="U507" s="8">
        <v>6.6164555E-2</v>
      </c>
      <c r="V507" s="8">
        <f t="shared" si="67"/>
        <v>1.922118135780484E-5</v>
      </c>
      <c r="W507" s="8">
        <v>1.033193E-3</v>
      </c>
      <c r="X507" s="8">
        <f t="shared" si="68"/>
        <v>5.5838630334568765E-9</v>
      </c>
      <c r="Y507" s="8"/>
      <c r="Z507" s="8">
        <f t="shared" si="69"/>
        <v>0</v>
      </c>
      <c r="AA507" s="8">
        <v>1.2235876E-2</v>
      </c>
      <c r="AB507" s="8">
        <f t="shared" si="70"/>
        <v>3.5545919060078565E-6</v>
      </c>
      <c r="AC507" s="8">
        <v>0.81460218799999995</v>
      </c>
      <c r="AD507" s="18">
        <f t="shared" si="71"/>
        <v>2.3664659106394101E-4</v>
      </c>
      <c r="AE507" s="9">
        <v>28.1</v>
      </c>
      <c r="AF507" s="10">
        <v>28.1</v>
      </c>
      <c r="AG507" s="10">
        <v>50.9</v>
      </c>
      <c r="AH507" s="10">
        <v>32.9</v>
      </c>
      <c r="AI507" s="10">
        <v>41</v>
      </c>
      <c r="AJ507" s="10">
        <v>35.4</v>
      </c>
      <c r="AK507" s="11">
        <v>3442.273072</v>
      </c>
      <c r="AL507" s="11">
        <v>32.067958900000001</v>
      </c>
      <c r="AM507" s="11">
        <v>748.87742109999999</v>
      </c>
      <c r="AN507" s="11">
        <v>83.8</v>
      </c>
      <c r="AO507" s="11">
        <v>43.521000000000001</v>
      </c>
      <c r="AP507" s="19">
        <v>1.5523188699999999</v>
      </c>
    </row>
    <row r="508" spans="2:42">
      <c r="B508" t="s">
        <v>32</v>
      </c>
      <c r="C508" t="s">
        <v>33</v>
      </c>
      <c r="D508" t="s">
        <v>34</v>
      </c>
      <c r="E508" t="s">
        <v>35</v>
      </c>
      <c r="F508" t="s">
        <v>36</v>
      </c>
      <c r="G508" t="s">
        <v>37</v>
      </c>
      <c r="H508" t="s">
        <v>38</v>
      </c>
      <c r="I508" t="s">
        <v>39</v>
      </c>
      <c r="J508" t="s">
        <v>40</v>
      </c>
      <c r="K508">
        <v>2019</v>
      </c>
      <c r="L508">
        <v>0.81332778343354895</v>
      </c>
      <c r="M508" s="17">
        <v>609.16980899999999</v>
      </c>
      <c r="N508" s="7">
        <f t="shared" si="63"/>
        <v>1.1565110605331785E-2</v>
      </c>
      <c r="O508" s="8">
        <v>72.172686409999997</v>
      </c>
      <c r="P508" s="8">
        <f t="shared" si="64"/>
        <v>1.3702010320993702E-3</v>
      </c>
      <c r="Q508" s="8">
        <v>0.44814103</v>
      </c>
      <c r="R508" s="8">
        <f t="shared" si="65"/>
        <v>8.5079734782741179E-6</v>
      </c>
      <c r="S508" s="8">
        <v>61.850125380000001</v>
      </c>
      <c r="T508" s="8">
        <f t="shared" si="66"/>
        <v>1.1742268418514789E-3</v>
      </c>
      <c r="U508" s="8">
        <v>0.15596206100000001</v>
      </c>
      <c r="V508" s="8">
        <f t="shared" si="67"/>
        <v>2.9609453046621734E-6</v>
      </c>
      <c r="W508" s="8">
        <v>0.114653741</v>
      </c>
      <c r="X508" s="8">
        <f t="shared" si="68"/>
        <v>5.6213652480528392E-11</v>
      </c>
      <c r="Y508" s="8">
        <v>2.4078709E-2</v>
      </c>
      <c r="Z508" s="8">
        <f t="shared" si="69"/>
        <v>4.5713515132296701E-7</v>
      </c>
      <c r="AA508" s="8">
        <v>0.20660339599999999</v>
      </c>
      <c r="AB508" s="8">
        <f t="shared" si="70"/>
        <v>3.9223728603680072E-6</v>
      </c>
      <c r="AC508" s="8">
        <v>12.57636005</v>
      </c>
      <c r="AD508" s="18">
        <f t="shared" si="71"/>
        <v>2.3876264522939609E-4</v>
      </c>
      <c r="AE508" s="9">
        <v>94.8</v>
      </c>
      <c r="AF508" s="10">
        <v>92.4</v>
      </c>
      <c r="AG508" s="10">
        <v>78.3</v>
      </c>
      <c r="AH508" s="10">
        <v>98.6</v>
      </c>
      <c r="AI508" s="10">
        <v>93.3</v>
      </c>
      <c r="AJ508" s="10">
        <v>92.3</v>
      </c>
      <c r="AK508" s="11">
        <v>52673.063820000003</v>
      </c>
      <c r="AL508" s="11">
        <v>47.1237724</v>
      </c>
      <c r="AM508" s="11">
        <v>9988.7798719999992</v>
      </c>
      <c r="AN508" s="11">
        <v>10.3</v>
      </c>
      <c r="AO508" s="11">
        <v>86.123999999999995</v>
      </c>
      <c r="AP508" s="19">
        <v>2.7819678699999999</v>
      </c>
    </row>
    <row r="509" spans="2:42">
      <c r="B509" t="s">
        <v>41</v>
      </c>
      <c r="C509" t="s">
        <v>42</v>
      </c>
      <c r="D509" t="s">
        <v>43</v>
      </c>
      <c r="E509" t="s">
        <v>35</v>
      </c>
      <c r="F509" t="s">
        <v>36</v>
      </c>
      <c r="G509" t="s">
        <v>37</v>
      </c>
      <c r="H509" t="s">
        <v>38</v>
      </c>
      <c r="I509" t="s">
        <v>39</v>
      </c>
      <c r="J509" t="s">
        <v>40</v>
      </c>
      <c r="K509">
        <v>2019</v>
      </c>
      <c r="L509">
        <v>0.39585579035944202</v>
      </c>
      <c r="M509" s="17">
        <v>83.457355800000002</v>
      </c>
      <c r="N509" s="7">
        <f t="shared" si="63"/>
        <v>1.3827761650708383E-3</v>
      </c>
      <c r="O509" s="8">
        <v>5.3052110900000002</v>
      </c>
      <c r="P509" s="8">
        <f t="shared" si="64"/>
        <v>8.7900214134527881E-5</v>
      </c>
      <c r="Q509" s="8">
        <v>0.69497764399999995</v>
      </c>
      <c r="R509" s="8">
        <f t="shared" si="65"/>
        <v>1.1514845062707897E-5</v>
      </c>
      <c r="S509" s="8">
        <v>0.77417839300000002</v>
      </c>
      <c r="T509" s="8">
        <f t="shared" si="66"/>
        <v>1.2827094976728755E-5</v>
      </c>
      <c r="U509" s="8">
        <v>6.0054891999999999E-2</v>
      </c>
      <c r="V509" s="8">
        <f t="shared" si="67"/>
        <v>9.9502880791609472E-7</v>
      </c>
      <c r="W509" s="8">
        <v>8.5038985999999997E-2</v>
      </c>
      <c r="X509" s="8">
        <f t="shared" si="68"/>
        <v>1.6486289386432076E-11</v>
      </c>
      <c r="Y509" s="8">
        <v>1.8101758999999999E-2</v>
      </c>
      <c r="Z509" s="8">
        <f t="shared" si="69"/>
        <v>2.9992180618615443E-7</v>
      </c>
      <c r="AA509" s="8">
        <v>2.6849405999999999E-2</v>
      </c>
      <c r="AB509" s="8">
        <f t="shared" si="70"/>
        <v>4.4485855449436561E-7</v>
      </c>
      <c r="AC509" s="8">
        <v>2.2272359590000002</v>
      </c>
      <c r="AD509" s="18">
        <f t="shared" si="71"/>
        <v>3.690230499842761E-5</v>
      </c>
      <c r="AE509" s="9">
        <v>90.5</v>
      </c>
      <c r="AF509" s="10">
        <v>91.4</v>
      </c>
      <c r="AG509" s="10">
        <v>77.400000000000006</v>
      </c>
      <c r="AH509" s="10">
        <v>91.4</v>
      </c>
      <c r="AI509" s="10">
        <v>98.6</v>
      </c>
      <c r="AJ509" s="10">
        <v>94.7</v>
      </c>
      <c r="AK509" s="11">
        <v>60354.927940000001</v>
      </c>
      <c r="AL509" s="11">
        <v>32.128090200000003</v>
      </c>
      <c r="AM509" s="11">
        <v>8339.9399990000002</v>
      </c>
      <c r="AN509" s="11">
        <v>34</v>
      </c>
      <c r="AO509" s="11">
        <v>58.515000000000001</v>
      </c>
      <c r="AP509" s="19">
        <v>-2.8525562</v>
      </c>
    </row>
    <row r="510" spans="2:42">
      <c r="B510" t="s">
        <v>44</v>
      </c>
      <c r="C510" t="s">
        <v>45</v>
      </c>
      <c r="D510" t="s">
        <v>46</v>
      </c>
      <c r="E510" t="s">
        <v>35</v>
      </c>
      <c r="F510" t="s">
        <v>36</v>
      </c>
      <c r="G510" t="s">
        <v>37</v>
      </c>
      <c r="H510" t="s">
        <v>38</v>
      </c>
      <c r="I510" t="s">
        <v>39</v>
      </c>
      <c r="J510" t="s">
        <v>40</v>
      </c>
      <c r="K510">
        <v>2019</v>
      </c>
      <c r="L510">
        <v>1.7216916047386802E-2</v>
      </c>
      <c r="M510" s="17">
        <v>56.380338700000003</v>
      </c>
      <c r="N510" s="7">
        <f t="shared" si="63"/>
        <v>3.3810652908006864E-3</v>
      </c>
      <c r="O510" s="8">
        <v>7.6548524689999997</v>
      </c>
      <c r="P510" s="8">
        <f t="shared" si="64"/>
        <v>4.5905286463161728E-4</v>
      </c>
      <c r="Q510" s="8">
        <v>3.2864328999999998E-2</v>
      </c>
      <c r="R510" s="8">
        <f t="shared" si="65"/>
        <v>1.9708367251677121E-6</v>
      </c>
      <c r="S510" s="8">
        <v>4.8833635839999996</v>
      </c>
      <c r="T510" s="8">
        <f t="shared" si="66"/>
        <v>2.9284980361819713E-4</v>
      </c>
      <c r="U510" s="8">
        <v>1.677085E-3</v>
      </c>
      <c r="V510" s="8">
        <f t="shared" si="67"/>
        <v>1.0057289498373427E-7</v>
      </c>
      <c r="W510" s="8">
        <v>1.7413747E-2</v>
      </c>
      <c r="X510" s="8">
        <f t="shared" si="68"/>
        <v>6.031243023108096E-12</v>
      </c>
      <c r="Y510" s="8">
        <v>4.0942700000000002E-4</v>
      </c>
      <c r="Z510" s="8">
        <f t="shared" si="69"/>
        <v>2.4552875181940908E-8</v>
      </c>
      <c r="AA510" s="8">
        <v>3.6336835999999997E-2</v>
      </c>
      <c r="AB510" s="8">
        <f t="shared" si="70"/>
        <v>2.1790790514906366E-6</v>
      </c>
      <c r="AC510" s="8">
        <v>2.8481131080000002</v>
      </c>
      <c r="AD510" s="18">
        <f t="shared" si="71"/>
        <v>1.707981292019671E-4</v>
      </c>
      <c r="AE510" s="9">
        <v>22.9</v>
      </c>
      <c r="AF510" s="10">
        <v>46.2</v>
      </c>
      <c r="AG510" s="10">
        <v>22.6</v>
      </c>
      <c r="AH510" s="10">
        <v>44.3</v>
      </c>
      <c r="AI510" s="10">
        <v>28.1</v>
      </c>
      <c r="AJ510" s="10">
        <v>7.2</v>
      </c>
      <c r="AK510" s="11">
        <v>16675.317940000001</v>
      </c>
      <c r="AL510" s="11">
        <v>57.827812299999998</v>
      </c>
      <c r="AM510" s="11">
        <v>2243.8512559999999</v>
      </c>
      <c r="AN510" s="11">
        <v>1.7</v>
      </c>
      <c r="AO510" s="11">
        <v>56.030999999999999</v>
      </c>
      <c r="AP510" s="19">
        <v>3.1218305599999998</v>
      </c>
    </row>
    <row r="511" spans="2:42">
      <c r="B511" t="s">
        <v>47</v>
      </c>
      <c r="C511" t="s">
        <v>48</v>
      </c>
      <c r="D511" t="s">
        <v>49</v>
      </c>
      <c r="E511" t="s">
        <v>35</v>
      </c>
      <c r="F511" t="s">
        <v>36</v>
      </c>
      <c r="G511" t="s">
        <v>37</v>
      </c>
      <c r="H511" t="s">
        <v>38</v>
      </c>
      <c r="I511" t="s">
        <v>39</v>
      </c>
      <c r="J511" t="s">
        <v>40</v>
      </c>
      <c r="K511">
        <v>2019</v>
      </c>
      <c r="L511">
        <v>1.3111408497825401</v>
      </c>
      <c r="M511" s="17">
        <v>3.0947740000000001E-2</v>
      </c>
      <c r="N511" s="7">
        <f t="shared" si="63"/>
        <v>5.4569550990547709E-7</v>
      </c>
      <c r="O511" s="8">
        <v>6.9909199150000001</v>
      </c>
      <c r="P511" s="8">
        <f t="shared" si="64"/>
        <v>1.2326953786364624E-4</v>
      </c>
      <c r="Q511" s="8">
        <v>0.29269477799999999</v>
      </c>
      <c r="R511" s="8">
        <f t="shared" si="65"/>
        <v>5.1610303733771967E-6</v>
      </c>
      <c r="S511" s="8">
        <v>2.6034303090000002</v>
      </c>
      <c r="T511" s="8">
        <f t="shared" si="66"/>
        <v>4.5905782780039147E-5</v>
      </c>
      <c r="U511" s="8">
        <v>4.5233073999999998E-2</v>
      </c>
      <c r="V511" s="8">
        <f t="shared" si="67"/>
        <v>7.9758603959520705E-7</v>
      </c>
      <c r="W511" s="8">
        <v>7.2154990000000002E-2</v>
      </c>
      <c r="X511" s="8">
        <f t="shared" si="68"/>
        <v>1.4063680274242852E-11</v>
      </c>
      <c r="Y511" s="8">
        <v>5.6574117E-2</v>
      </c>
      <c r="Z511" s="8">
        <f t="shared" si="69"/>
        <v>9.9756045590944975E-7</v>
      </c>
      <c r="AA511" s="8">
        <v>3.3606596000000002E-2</v>
      </c>
      <c r="AB511" s="8">
        <f t="shared" si="70"/>
        <v>5.9257860316802989E-7</v>
      </c>
      <c r="AC511" s="8">
        <v>2.4337893410000002</v>
      </c>
      <c r="AD511" s="18">
        <f t="shared" si="71"/>
        <v>4.2914536422999223E-5</v>
      </c>
      <c r="AE511" s="9">
        <v>89.5</v>
      </c>
      <c r="AF511" s="10">
        <v>82.9</v>
      </c>
      <c r="AG511" s="10">
        <v>60.8</v>
      </c>
      <c r="AH511" s="10">
        <v>87.6</v>
      </c>
      <c r="AI511" s="10">
        <v>87.6</v>
      </c>
      <c r="AJ511" s="10">
        <v>93.7</v>
      </c>
      <c r="AK511" s="11">
        <v>56712.469570000001</v>
      </c>
      <c r="AL511" s="11">
        <v>44.467764199999998</v>
      </c>
      <c r="AM511" s="11">
        <v>7673.440114</v>
      </c>
      <c r="AN511" s="11">
        <v>10.199999999999999</v>
      </c>
      <c r="AO511" s="11">
        <v>98.040999999999997</v>
      </c>
      <c r="AP511" s="19">
        <v>-1.9725299999999999</v>
      </c>
    </row>
    <row r="512" spans="2:42">
      <c r="B512" t="s">
        <v>50</v>
      </c>
      <c r="C512" t="s">
        <v>51</v>
      </c>
      <c r="D512" t="s">
        <v>52</v>
      </c>
      <c r="E512" t="s">
        <v>35</v>
      </c>
      <c r="F512" t="s">
        <v>36</v>
      </c>
      <c r="G512" t="s">
        <v>37</v>
      </c>
      <c r="H512" t="s">
        <v>38</v>
      </c>
      <c r="I512" t="s">
        <v>39</v>
      </c>
      <c r="J512" t="s">
        <v>40</v>
      </c>
      <c r="K512">
        <v>2019</v>
      </c>
      <c r="L512">
        <v>0.67352999494199195</v>
      </c>
      <c r="M512" s="17">
        <v>254.40437900000001</v>
      </c>
      <c r="N512" s="7">
        <f t="shared" si="63"/>
        <v>9.4875775197586394E-3</v>
      </c>
      <c r="O512" s="8">
        <v>2.0204726019999999</v>
      </c>
      <c r="P512" s="8">
        <f t="shared" si="64"/>
        <v>7.5350080503226876E-5</v>
      </c>
      <c r="Q512" s="8">
        <v>0.33206619999999998</v>
      </c>
      <c r="R512" s="8">
        <f t="shared" si="65"/>
        <v>1.2383842709687303E-5</v>
      </c>
      <c r="S512" s="8">
        <v>1.0117729419999999</v>
      </c>
      <c r="T512" s="8">
        <f t="shared" si="66"/>
        <v>3.7732346657520625E-5</v>
      </c>
      <c r="U512" s="8">
        <v>1.5566791999999999E-2</v>
      </c>
      <c r="V512" s="8">
        <f t="shared" si="67"/>
        <v>5.8053696408251925E-7</v>
      </c>
      <c r="W512" s="8">
        <v>2.5199459E-2</v>
      </c>
      <c r="X512" s="8">
        <f t="shared" si="68"/>
        <v>2.165013617874179E-11</v>
      </c>
      <c r="Y512" s="8">
        <v>7.3818699999999996E-3</v>
      </c>
      <c r="Z512" s="8">
        <f t="shared" si="69"/>
        <v>2.7529425452924572E-7</v>
      </c>
      <c r="AA512" s="8">
        <v>4.8573158999999998E-2</v>
      </c>
      <c r="AB512" s="8">
        <f t="shared" si="70"/>
        <v>1.8114531408756214E-6</v>
      </c>
      <c r="AC512" s="8">
        <v>5.6320409659999999</v>
      </c>
      <c r="AD512" s="18">
        <f t="shared" si="71"/>
        <v>2.100373644094441E-4</v>
      </c>
      <c r="AE512" s="9">
        <v>49.5</v>
      </c>
      <c r="AF512" s="10">
        <v>60</v>
      </c>
      <c r="AG512" s="10">
        <v>66</v>
      </c>
      <c r="AH512" s="10">
        <v>70.5</v>
      </c>
      <c r="AI512" s="10">
        <v>52.4</v>
      </c>
      <c r="AJ512" s="10">
        <v>58.5</v>
      </c>
      <c r="AK512" s="11">
        <v>26814.471710000002</v>
      </c>
      <c r="AL512" s="11">
        <v>46.398305100000002</v>
      </c>
      <c r="AM512" s="11">
        <v>5395.4176129999996</v>
      </c>
      <c r="AN512" s="11">
        <v>19.3</v>
      </c>
      <c r="AO512" s="11">
        <v>75.346999999999994</v>
      </c>
      <c r="AP512" s="19">
        <v>3.2363694999999999</v>
      </c>
    </row>
    <row r="513" spans="2:42">
      <c r="B513" t="s">
        <v>53</v>
      </c>
      <c r="C513" t="s">
        <v>54</v>
      </c>
      <c r="D513" t="s">
        <v>55</v>
      </c>
      <c r="E513" t="s">
        <v>35</v>
      </c>
      <c r="F513" t="s">
        <v>36</v>
      </c>
      <c r="G513" t="s">
        <v>37</v>
      </c>
      <c r="H513" t="s">
        <v>38</v>
      </c>
      <c r="I513" t="s">
        <v>39</v>
      </c>
      <c r="J513" t="s">
        <v>40</v>
      </c>
      <c r="K513">
        <v>2019</v>
      </c>
      <c r="L513">
        <v>0.71059761328502602</v>
      </c>
      <c r="M513" s="17">
        <v>12.169976500000001</v>
      </c>
      <c r="N513" s="7">
        <f t="shared" si="63"/>
        <v>2.4099453415598376E-4</v>
      </c>
      <c r="O513" s="8">
        <v>31.426364360000001</v>
      </c>
      <c r="P513" s="8">
        <f t="shared" si="64"/>
        <v>6.223168992277356E-4</v>
      </c>
      <c r="Q513" s="8">
        <v>0.96313557599999999</v>
      </c>
      <c r="R513" s="8">
        <f t="shared" si="65"/>
        <v>1.9072379430410163E-5</v>
      </c>
      <c r="S513" s="8">
        <v>75.595443770000003</v>
      </c>
      <c r="T513" s="8">
        <f t="shared" si="66"/>
        <v>1.4969699206622146E-3</v>
      </c>
      <c r="U513" s="8">
        <v>0.28792262899999999</v>
      </c>
      <c r="V513" s="8">
        <f t="shared" si="67"/>
        <v>5.7015541360183512E-6</v>
      </c>
      <c r="W513" s="8">
        <v>0.15799474999999999</v>
      </c>
      <c r="X513" s="8">
        <f t="shared" si="68"/>
        <v>1.1290435794800959E-10</v>
      </c>
      <c r="Y513" s="8">
        <v>0.16851306999999999</v>
      </c>
      <c r="Z513" s="8">
        <f t="shared" si="69"/>
        <v>3.336960330518689E-6</v>
      </c>
      <c r="AA513" s="8">
        <v>0.62297288799999995</v>
      </c>
      <c r="AB513" s="8">
        <f t="shared" si="70"/>
        <v>1.2336347644990755E-5</v>
      </c>
      <c r="AC513" s="8">
        <v>20.084207509999999</v>
      </c>
      <c r="AD513" s="18">
        <f t="shared" si="71"/>
        <v>3.977151667272784E-4</v>
      </c>
      <c r="AE513" s="9">
        <v>92.9</v>
      </c>
      <c r="AF513" s="10">
        <v>95.7</v>
      </c>
      <c r="AG513" s="10">
        <v>81.599999999999994</v>
      </c>
      <c r="AH513" s="10">
        <v>95.7</v>
      </c>
      <c r="AI513" s="10">
        <v>94.8</v>
      </c>
      <c r="AJ513" s="10">
        <v>96.1</v>
      </c>
      <c r="AK513" s="11">
        <v>50498.973109999999</v>
      </c>
      <c r="AL513" s="11">
        <v>6.4343562399999996</v>
      </c>
      <c r="AM513" s="11">
        <v>15191.64975</v>
      </c>
      <c r="AN513" s="11">
        <v>22.4</v>
      </c>
      <c r="AO513" s="11">
        <v>81.481999999999999</v>
      </c>
      <c r="AP513" s="19">
        <v>2.8067668700000001</v>
      </c>
    </row>
    <row r="514" spans="2:42">
      <c r="B514" t="s">
        <v>56</v>
      </c>
      <c r="C514" t="s">
        <v>57</v>
      </c>
      <c r="D514" t="s">
        <v>58</v>
      </c>
      <c r="E514" t="s">
        <v>35</v>
      </c>
      <c r="F514" t="s">
        <v>36</v>
      </c>
      <c r="G514" t="s">
        <v>37</v>
      </c>
      <c r="H514" t="s">
        <v>38</v>
      </c>
      <c r="I514" t="s">
        <v>39</v>
      </c>
      <c r="J514" t="s">
        <v>40</v>
      </c>
      <c r="K514">
        <v>2019</v>
      </c>
      <c r="L514">
        <v>9.7641259645917897E-2</v>
      </c>
      <c r="M514" s="17">
        <v>788.00767900000005</v>
      </c>
      <c r="N514" s="7">
        <f t="shared" si="63"/>
        <v>3.076741878595219E-2</v>
      </c>
      <c r="O514" s="8">
        <v>7.0867460050000002</v>
      </c>
      <c r="P514" s="8">
        <f t="shared" si="64"/>
        <v>2.7669893070357836E-4</v>
      </c>
      <c r="Q514" s="8">
        <v>0.67527828099999998</v>
      </c>
      <c r="R514" s="8">
        <f t="shared" si="65"/>
        <v>2.6365948229020876E-5</v>
      </c>
      <c r="S514" s="8">
        <v>1.787340828</v>
      </c>
      <c r="T514" s="8">
        <f t="shared" si="66"/>
        <v>6.978594908883691E-5</v>
      </c>
      <c r="U514" s="8">
        <v>9.4615179999999993E-2</v>
      </c>
      <c r="V514" s="8">
        <f t="shared" si="67"/>
        <v>3.694208754745203E-6</v>
      </c>
      <c r="W514" s="8">
        <v>0.16985372700000001</v>
      </c>
      <c r="X514" s="8">
        <f t="shared" si="68"/>
        <v>1.4423878201823537E-10</v>
      </c>
      <c r="Y514" s="8">
        <v>3.0258641999999999E-2</v>
      </c>
      <c r="Z514" s="8">
        <f t="shared" si="69"/>
        <v>1.1814355812999657E-6</v>
      </c>
      <c r="AA514" s="8">
        <v>6.0028972999999999E-2</v>
      </c>
      <c r="AB514" s="8">
        <f t="shared" si="70"/>
        <v>2.3438052709402804E-6</v>
      </c>
      <c r="AC514" s="8">
        <v>11.57523567</v>
      </c>
      <c r="AD514" s="18">
        <f t="shared" si="71"/>
        <v>4.5195006710712759E-4</v>
      </c>
      <c r="AE514" s="9">
        <v>80.5</v>
      </c>
      <c r="AF514" s="10">
        <v>77.599999999999994</v>
      </c>
      <c r="AG514" s="10">
        <v>46.7</v>
      </c>
      <c r="AH514" s="10">
        <v>83.3</v>
      </c>
      <c r="AI514" s="10">
        <v>79.5</v>
      </c>
      <c r="AJ514" s="10">
        <v>79.7</v>
      </c>
      <c r="AK514" s="11">
        <v>25611.757829999999</v>
      </c>
      <c r="AL514" s="11">
        <v>15.4208079</v>
      </c>
      <c r="AM514" s="11">
        <v>4218.620688</v>
      </c>
      <c r="AN514" s="11">
        <v>25.3</v>
      </c>
      <c r="AO514" s="11">
        <v>87.643000000000001</v>
      </c>
      <c r="AP514" s="19">
        <v>4.8795616400000004</v>
      </c>
    </row>
    <row r="515" spans="2:42">
      <c r="B515" t="s">
        <v>59</v>
      </c>
      <c r="C515" t="s">
        <v>60</v>
      </c>
      <c r="D515" t="s">
        <v>61</v>
      </c>
      <c r="E515" t="s">
        <v>35</v>
      </c>
      <c r="F515" t="s">
        <v>36</v>
      </c>
      <c r="G515" t="s">
        <v>37</v>
      </c>
      <c r="H515" t="s">
        <v>38</v>
      </c>
      <c r="I515" t="s">
        <v>39</v>
      </c>
      <c r="J515" t="s">
        <v>40</v>
      </c>
      <c r="K515">
        <v>2019</v>
      </c>
      <c r="L515">
        <v>0.14364720494483599</v>
      </c>
      <c r="M515" s="17">
        <v>0.40779923000000001</v>
      </c>
      <c r="N515" s="7">
        <f t="shared" ref="N515:N578" si="72">M515/AK515</f>
        <v>1.2333741997029749E-5</v>
      </c>
      <c r="O515" s="8">
        <v>1.6308173370000001</v>
      </c>
      <c r="P515" s="8">
        <f t="shared" ref="P515:P578" si="73">O515/AK515</f>
        <v>4.9323487635916125E-5</v>
      </c>
      <c r="Q515" s="8">
        <v>0.36446806799999998</v>
      </c>
      <c r="R515" s="8">
        <f t="shared" ref="R515:R578" si="74">Q515/AK515</f>
        <v>1.1023206485377359E-5</v>
      </c>
      <c r="S515" s="8">
        <v>0.31722369700000003</v>
      </c>
      <c r="T515" s="8">
        <f t="shared" ref="T515:T578" si="75">S515/AK515</f>
        <v>9.5943173657830099E-6</v>
      </c>
      <c r="U515" s="8">
        <v>4.4112320000000002E-3</v>
      </c>
      <c r="V515" s="8">
        <f t="shared" ref="V515:V578" si="76">U515/AK515</f>
        <v>1.3341613562399696E-7</v>
      </c>
      <c r="W515" s="8">
        <v>1.0807983E-2</v>
      </c>
      <c r="X515" s="8">
        <f t="shared" ref="X515:X578" si="77">V515/AK515</f>
        <v>4.0351233498579873E-12</v>
      </c>
      <c r="Y515" s="8">
        <v>1.525039E-3</v>
      </c>
      <c r="Z515" s="8">
        <f t="shared" ref="Z515:Z578" si="78">Y515/AK515</f>
        <v>4.6124259629936646E-8</v>
      </c>
      <c r="AA515" s="8">
        <v>1.2776988E-2</v>
      </c>
      <c r="AB515" s="8">
        <f t="shared" ref="AB515:AB578" si="79">AA515/AK515</f>
        <v>3.8643543660233278E-7</v>
      </c>
      <c r="AC515" s="8">
        <v>1.449654373</v>
      </c>
      <c r="AD515" s="18">
        <f t="shared" ref="AD515:AD578" si="80">AC515/AK515</f>
        <v>4.3844278522664021E-5</v>
      </c>
      <c r="AE515" s="9">
        <v>58.1</v>
      </c>
      <c r="AF515" s="10">
        <v>69</v>
      </c>
      <c r="AG515" s="10">
        <v>70.3</v>
      </c>
      <c r="AH515" s="10">
        <v>71.900000000000006</v>
      </c>
      <c r="AI515" s="10">
        <v>61.9</v>
      </c>
      <c r="AJ515" s="10">
        <v>60.4</v>
      </c>
      <c r="AK515" s="11">
        <v>33063.706870000002</v>
      </c>
      <c r="AL515" s="11">
        <v>26.8744193</v>
      </c>
      <c r="AM515" s="11">
        <v>4363.7118639999999</v>
      </c>
      <c r="AN515" s="11">
        <v>31.6</v>
      </c>
      <c r="AO515" s="11">
        <v>57.241999999999997</v>
      </c>
      <c r="AP515" s="19">
        <v>6.4727717699999996</v>
      </c>
    </row>
    <row r="516" spans="2:42">
      <c r="B516" t="s">
        <v>62</v>
      </c>
      <c r="C516" t="s">
        <v>63</v>
      </c>
      <c r="D516" t="s">
        <v>64</v>
      </c>
      <c r="E516" t="s">
        <v>35</v>
      </c>
      <c r="F516" t="s">
        <v>36</v>
      </c>
      <c r="G516" t="s">
        <v>37</v>
      </c>
      <c r="H516" t="s">
        <v>38</v>
      </c>
      <c r="I516" t="s">
        <v>39</v>
      </c>
      <c r="J516" t="s">
        <v>40</v>
      </c>
      <c r="K516">
        <v>2019</v>
      </c>
      <c r="L516">
        <v>0.26858004598020901</v>
      </c>
      <c r="M516" s="17">
        <v>9.7501930699999999</v>
      </c>
      <c r="N516" s="7">
        <f t="shared" si="72"/>
        <v>2.1611418171253673E-4</v>
      </c>
      <c r="O516" s="8">
        <v>0.42528160199999998</v>
      </c>
      <c r="P516" s="8">
        <f t="shared" si="73"/>
        <v>9.4264169697746016E-6</v>
      </c>
      <c r="Q516" s="8">
        <v>9.971466E-3</v>
      </c>
      <c r="R516" s="8">
        <f t="shared" si="74"/>
        <v>2.2101872235688783E-7</v>
      </c>
      <c r="S516" s="8">
        <v>3.6982569999999999E-3</v>
      </c>
      <c r="T516" s="8">
        <f t="shared" si="75"/>
        <v>8.1972303479490067E-8</v>
      </c>
      <c r="U516" s="8">
        <v>2.6462920000000002E-3</v>
      </c>
      <c r="V516" s="8">
        <f t="shared" si="76"/>
        <v>5.8655374929148177E-8</v>
      </c>
      <c r="W516" s="8">
        <v>2.2955240000000002E-3</v>
      </c>
      <c r="X516" s="8">
        <f t="shared" si="77"/>
        <v>1.3001033174264005E-12</v>
      </c>
      <c r="Y516" s="8"/>
      <c r="Z516" s="8">
        <f t="shared" si="78"/>
        <v>0</v>
      </c>
      <c r="AA516" s="8">
        <v>3.9697990000000004E-3</v>
      </c>
      <c r="AB516" s="8">
        <f t="shared" si="79"/>
        <v>8.7991064001386663E-8</v>
      </c>
      <c r="AC516" s="8">
        <v>1.4247228089999999</v>
      </c>
      <c r="AD516" s="18">
        <f t="shared" si="80"/>
        <v>3.1579149440804021E-5</v>
      </c>
      <c r="AE516" s="9">
        <v>71</v>
      </c>
      <c r="AF516" s="10">
        <v>78.599999999999994</v>
      </c>
      <c r="AG516" s="10">
        <v>64.2</v>
      </c>
      <c r="AH516" s="10">
        <v>80</v>
      </c>
      <c r="AI516" s="10">
        <v>75.2</v>
      </c>
      <c r="AJ516" s="10">
        <v>81.2</v>
      </c>
      <c r="AK516" s="11">
        <v>45115.933590000001</v>
      </c>
      <c r="AL516" s="11">
        <v>13.5636797</v>
      </c>
      <c r="AM516" s="11">
        <v>3853.354898</v>
      </c>
      <c r="AN516" s="11">
        <v>12</v>
      </c>
      <c r="AO516" s="11">
        <v>66.805000000000007</v>
      </c>
      <c r="AP516" s="19">
        <v>431.78847000000002</v>
      </c>
    </row>
    <row r="517" spans="2:42">
      <c r="B517" t="s">
        <v>65</v>
      </c>
      <c r="C517" t="s">
        <v>66</v>
      </c>
      <c r="D517" t="s">
        <v>67</v>
      </c>
      <c r="E517" t="s">
        <v>35</v>
      </c>
      <c r="F517" t="s">
        <v>36</v>
      </c>
      <c r="G517" t="s">
        <v>37</v>
      </c>
      <c r="H517" t="s">
        <v>38</v>
      </c>
      <c r="I517" t="s">
        <v>39</v>
      </c>
      <c r="J517" t="s">
        <v>40</v>
      </c>
      <c r="K517">
        <v>2019</v>
      </c>
      <c r="L517">
        <v>0.83394658860281101</v>
      </c>
      <c r="M517" s="17">
        <v>9.7501930699999999</v>
      </c>
      <c r="N517" s="7">
        <f t="shared" si="72"/>
        <v>2.1375431693479275E-4</v>
      </c>
      <c r="O517" s="8">
        <v>5.0731465580000004</v>
      </c>
      <c r="P517" s="8">
        <f t="shared" si="73"/>
        <v>1.1121902606748946E-4</v>
      </c>
      <c r="Q517" s="8">
        <v>0.982061407</v>
      </c>
      <c r="R517" s="8">
        <f t="shared" si="74"/>
        <v>2.1529816254326388E-5</v>
      </c>
      <c r="S517" s="8">
        <v>2.8197825679999999</v>
      </c>
      <c r="T517" s="8">
        <f t="shared" si="75"/>
        <v>6.181833450888535E-5</v>
      </c>
      <c r="U517" s="8">
        <v>3.6105004000000003E-2</v>
      </c>
      <c r="V517" s="8">
        <f t="shared" si="76"/>
        <v>7.9153309196450205E-7</v>
      </c>
      <c r="W517" s="8">
        <v>5.0083927E-2</v>
      </c>
      <c r="X517" s="8">
        <f t="shared" si="77"/>
        <v>1.7352847701523168E-11</v>
      </c>
      <c r="Y517" s="8">
        <v>1.3666220999999999E-2</v>
      </c>
      <c r="Z517" s="8">
        <f t="shared" si="78"/>
        <v>2.996057323134546E-7</v>
      </c>
      <c r="AA517" s="8">
        <v>3.7500682E-2</v>
      </c>
      <c r="AB517" s="8">
        <f t="shared" si="79"/>
        <v>8.2213066017767361E-7</v>
      </c>
      <c r="AC517" s="8">
        <v>5.1161136550000004</v>
      </c>
      <c r="AD517" s="18">
        <f t="shared" si="80"/>
        <v>1.1216099741143804E-4</v>
      </c>
      <c r="AE517" s="9">
        <v>69</v>
      </c>
      <c r="AF517" s="10">
        <v>78.099999999999994</v>
      </c>
      <c r="AG517" s="10">
        <v>80.2</v>
      </c>
      <c r="AH517" s="10">
        <v>86.7</v>
      </c>
      <c r="AI517" s="10">
        <v>81.900000000000006</v>
      </c>
      <c r="AJ517" s="10">
        <v>73.400000000000006</v>
      </c>
      <c r="AK517" s="11">
        <v>45614.017110000001</v>
      </c>
      <c r="AL517" s="11">
        <v>45.639999699999997</v>
      </c>
      <c r="AM517" s="11">
        <v>6525.473043</v>
      </c>
      <c r="AN517" s="11">
        <v>15.9</v>
      </c>
      <c r="AO517" s="11">
        <v>73.921000000000006</v>
      </c>
      <c r="AP517" s="19">
        <v>4.1870573799999997</v>
      </c>
    </row>
    <row r="518" spans="2:42">
      <c r="B518" t="s">
        <v>68</v>
      </c>
      <c r="C518" t="s">
        <v>69</v>
      </c>
      <c r="D518" t="s">
        <v>70</v>
      </c>
      <c r="E518" t="s">
        <v>35</v>
      </c>
      <c r="F518" t="s">
        <v>36</v>
      </c>
      <c r="G518" t="s">
        <v>37</v>
      </c>
      <c r="H518" t="s">
        <v>38</v>
      </c>
      <c r="I518" t="s">
        <v>39</v>
      </c>
      <c r="J518" t="s">
        <v>40</v>
      </c>
      <c r="K518">
        <v>2019</v>
      </c>
      <c r="L518">
        <v>0.38862721255930999</v>
      </c>
      <c r="M518" s="17">
        <v>788.00767900000005</v>
      </c>
      <c r="N518" s="7">
        <f t="shared" si="72"/>
        <v>1.300450723576934E-2</v>
      </c>
      <c r="O518" s="8">
        <v>6.793840898</v>
      </c>
      <c r="P518" s="8">
        <f t="shared" si="73"/>
        <v>1.1211889867472556E-4</v>
      </c>
      <c r="Q518" s="8">
        <v>0.34109735600000002</v>
      </c>
      <c r="R518" s="8">
        <f t="shared" si="74"/>
        <v>5.6291368122616867E-6</v>
      </c>
      <c r="S518" s="8">
        <v>0.45226817899999999</v>
      </c>
      <c r="T518" s="8">
        <f t="shared" si="75"/>
        <v>7.463791233325942E-6</v>
      </c>
      <c r="U518" s="8">
        <v>1.0185446000000001E-2</v>
      </c>
      <c r="V518" s="8">
        <f t="shared" si="76"/>
        <v>1.6809062872918766E-7</v>
      </c>
      <c r="W518" s="8">
        <v>0.102771299</v>
      </c>
      <c r="X518" s="8">
        <f t="shared" si="77"/>
        <v>2.7740031675170244E-12</v>
      </c>
      <c r="Y518" s="14">
        <v>4.0521600000000002E-7</v>
      </c>
      <c r="Z518" s="8">
        <f t="shared" si="78"/>
        <v>6.687288137517641E-12</v>
      </c>
      <c r="AA518" s="8">
        <v>1.6527586E-2</v>
      </c>
      <c r="AB518" s="8">
        <f t="shared" si="79"/>
        <v>2.7275509802081517E-7</v>
      </c>
      <c r="AC518" s="8">
        <v>2.807939508</v>
      </c>
      <c r="AD518" s="18">
        <f t="shared" si="80"/>
        <v>4.6339484528536682E-5</v>
      </c>
      <c r="AE518" s="9">
        <v>99.5</v>
      </c>
      <c r="AF518" s="10">
        <v>98.6</v>
      </c>
      <c r="AG518" s="10">
        <v>81.099999999999994</v>
      </c>
      <c r="AH518" s="10">
        <v>92.4</v>
      </c>
      <c r="AI518" s="10">
        <v>97.1</v>
      </c>
      <c r="AJ518" s="10">
        <v>98.6</v>
      </c>
      <c r="AK518" s="11">
        <v>60594.966399999998</v>
      </c>
      <c r="AL518" s="11">
        <v>65.649124999999998</v>
      </c>
      <c r="AM518" s="11">
        <v>5755.1722250000003</v>
      </c>
      <c r="AN518" s="11">
        <v>37.200000000000003</v>
      </c>
      <c r="AO518" s="11">
        <v>87.994</v>
      </c>
      <c r="AP518" s="19">
        <v>-1.100671</v>
      </c>
    </row>
    <row r="519" spans="2:42">
      <c r="B519" t="s">
        <v>71</v>
      </c>
      <c r="C519" t="s">
        <v>72</v>
      </c>
      <c r="D519" t="s">
        <v>73</v>
      </c>
      <c r="E519" t="s">
        <v>35</v>
      </c>
      <c r="F519" t="s">
        <v>36</v>
      </c>
      <c r="G519" t="s">
        <v>37</v>
      </c>
      <c r="H519" t="s">
        <v>38</v>
      </c>
      <c r="I519" t="s">
        <v>39</v>
      </c>
      <c r="J519" t="s">
        <v>40</v>
      </c>
      <c r="K519">
        <v>2019</v>
      </c>
      <c r="L519">
        <v>0.100814188909814</v>
      </c>
      <c r="M519" s="17">
        <v>316.59181599999999</v>
      </c>
      <c r="N519" s="7">
        <f t="shared" si="72"/>
        <v>3.244848387707118E-2</v>
      </c>
      <c r="O519" s="8">
        <v>1.47976745</v>
      </c>
      <c r="P519" s="8">
        <f t="shared" si="73"/>
        <v>1.5166598697908141E-4</v>
      </c>
      <c r="Q519" s="8">
        <v>5.7965175000000001E-2</v>
      </c>
      <c r="R519" s="8">
        <f t="shared" si="74"/>
        <v>5.941031799821097E-6</v>
      </c>
      <c r="S519" s="8">
        <v>2.3206299999999999E-4</v>
      </c>
      <c r="T519" s="8">
        <f t="shared" si="75"/>
        <v>2.3784861558028303E-8</v>
      </c>
      <c r="U519" s="8">
        <v>1.4361109999999999E-3</v>
      </c>
      <c r="V519" s="8">
        <f t="shared" si="76"/>
        <v>1.4719150108790106E-7</v>
      </c>
      <c r="W519" s="8">
        <v>1.3428736E-2</v>
      </c>
      <c r="X519" s="8">
        <f t="shared" si="77"/>
        <v>1.5086116597191706E-11</v>
      </c>
      <c r="Y519" s="8"/>
      <c r="Z519" s="8">
        <f t="shared" si="78"/>
        <v>0</v>
      </c>
      <c r="AA519" s="8">
        <v>1.8164158E-2</v>
      </c>
      <c r="AB519" s="8">
        <f t="shared" si="79"/>
        <v>1.8617012765850318E-6</v>
      </c>
      <c r="AC519" s="8">
        <v>1.3598794160000001</v>
      </c>
      <c r="AD519" s="18">
        <f t="shared" si="80"/>
        <v>1.3937828798719478E-4</v>
      </c>
      <c r="AE519" s="9">
        <v>33.799999999999997</v>
      </c>
      <c r="AF519" s="10">
        <v>34.299999999999997</v>
      </c>
      <c r="AG519" s="10">
        <v>42.9</v>
      </c>
      <c r="AH519" s="10">
        <v>51</v>
      </c>
      <c r="AI519" s="10">
        <v>19.5</v>
      </c>
      <c r="AJ519" s="10">
        <v>50.7</v>
      </c>
      <c r="AK519" s="11">
        <v>9756.7521859999997</v>
      </c>
      <c r="AL519" s="11">
        <v>57.707529000000001</v>
      </c>
      <c r="AM519" s="11">
        <v>1057.8051459999999</v>
      </c>
      <c r="AN519" s="11">
        <v>19.399999999999999</v>
      </c>
      <c r="AO519" s="11">
        <v>72.745999999999995</v>
      </c>
      <c r="AP519" s="19">
        <v>2.5902436899999999</v>
      </c>
    </row>
    <row r="520" spans="2:42">
      <c r="B520" t="s">
        <v>74</v>
      </c>
      <c r="C520" t="s">
        <v>75</v>
      </c>
      <c r="D520" t="s">
        <v>76</v>
      </c>
      <c r="E520" t="s">
        <v>35</v>
      </c>
      <c r="F520" t="s">
        <v>36</v>
      </c>
      <c r="G520" t="s">
        <v>37</v>
      </c>
      <c r="H520" t="s">
        <v>38</v>
      </c>
      <c r="I520" t="s">
        <v>39</v>
      </c>
      <c r="J520" t="s">
        <v>40</v>
      </c>
      <c r="K520">
        <v>2019</v>
      </c>
      <c r="L520">
        <v>0.674596871642548</v>
      </c>
      <c r="M520" s="17">
        <v>6.2663977500000003</v>
      </c>
      <c r="N520" s="7">
        <f t="shared" si="72"/>
        <v>1.54396573206545E-4</v>
      </c>
      <c r="O520" s="8">
        <v>0.88420702600000001</v>
      </c>
      <c r="P520" s="8">
        <f t="shared" si="73"/>
        <v>2.1785807455256163E-5</v>
      </c>
      <c r="Q520" s="8">
        <v>0.140470449</v>
      </c>
      <c r="R520" s="8">
        <f t="shared" si="74"/>
        <v>3.4610244717365328E-6</v>
      </c>
      <c r="S520" s="8">
        <v>6.3368079999999993E-2</v>
      </c>
      <c r="T520" s="8">
        <f t="shared" si="75"/>
        <v>1.5613139786216409E-6</v>
      </c>
      <c r="U520" s="8">
        <v>1.9599560000000001E-3</v>
      </c>
      <c r="V520" s="8">
        <f t="shared" si="76"/>
        <v>4.8290980258252384E-8</v>
      </c>
      <c r="W520" s="8">
        <v>2.8777764000000001E-2</v>
      </c>
      <c r="X520" s="8">
        <f t="shared" si="77"/>
        <v>1.1898322076122736E-12</v>
      </c>
      <c r="Y520" s="8"/>
      <c r="Z520" s="8">
        <f t="shared" si="78"/>
        <v>0</v>
      </c>
      <c r="AA520" s="8">
        <v>7.0387139999999997E-3</v>
      </c>
      <c r="AB520" s="8">
        <f t="shared" si="79"/>
        <v>1.7342552527581468E-7</v>
      </c>
      <c r="AC520" s="8">
        <v>1.77338251</v>
      </c>
      <c r="AD520" s="18">
        <f t="shared" si="80"/>
        <v>4.3694031794968892E-5</v>
      </c>
      <c r="AE520" s="9">
        <v>91</v>
      </c>
      <c r="AF520" s="10">
        <v>84.8</v>
      </c>
      <c r="AG520" s="10">
        <v>67.5</v>
      </c>
      <c r="AH520" s="10">
        <v>92.9</v>
      </c>
      <c r="AI520" s="10">
        <v>86.2</v>
      </c>
      <c r="AJ520" s="10">
        <v>87.4</v>
      </c>
      <c r="AK520" s="11">
        <v>40586.37844</v>
      </c>
      <c r="AL520" s="11">
        <v>23.1204678</v>
      </c>
      <c r="AM520" s="11">
        <v>6987.7262609999998</v>
      </c>
      <c r="AN520" s="11">
        <v>31.3</v>
      </c>
      <c r="AO520" s="11">
        <v>69.051000000000002</v>
      </c>
      <c r="AP520" s="19">
        <v>9.7681936500000006</v>
      </c>
    </row>
    <row r="521" spans="2:42">
      <c r="B521" t="s">
        <v>77</v>
      </c>
      <c r="C521" t="s">
        <v>78</v>
      </c>
      <c r="D521" t="s">
        <v>79</v>
      </c>
      <c r="E521" t="s">
        <v>35</v>
      </c>
      <c r="F521" t="s">
        <v>36</v>
      </c>
      <c r="G521" t="s">
        <v>37</v>
      </c>
      <c r="H521" t="s">
        <v>38</v>
      </c>
      <c r="I521" t="s">
        <v>39</v>
      </c>
      <c r="J521" t="s">
        <v>40</v>
      </c>
      <c r="K521">
        <v>2019</v>
      </c>
      <c r="L521">
        <v>0.19344778994238301</v>
      </c>
      <c r="M521" s="17">
        <v>9.4305556900000003</v>
      </c>
      <c r="N521" s="7">
        <f t="shared" si="72"/>
        <v>1.8039895100790105E-4</v>
      </c>
      <c r="O521" s="8">
        <v>2.4444245800000002</v>
      </c>
      <c r="P521" s="8">
        <f t="shared" si="73"/>
        <v>4.6759877630278771E-5</v>
      </c>
      <c r="Q521" s="8">
        <v>0.54539713899999998</v>
      </c>
      <c r="R521" s="8">
        <f t="shared" si="74"/>
        <v>1.0433008933147014E-5</v>
      </c>
      <c r="S521" s="8">
        <v>0.130990629</v>
      </c>
      <c r="T521" s="8">
        <f t="shared" si="75"/>
        <v>2.5057454555432613E-6</v>
      </c>
      <c r="U521" s="8">
        <v>0.16969474300000001</v>
      </c>
      <c r="V521" s="8">
        <f t="shared" si="76"/>
        <v>3.2461240498496397E-6</v>
      </c>
      <c r="W521" s="8">
        <v>0.14927166</v>
      </c>
      <c r="X521" s="8">
        <f t="shared" si="77"/>
        <v>6.2095744162282183E-11</v>
      </c>
      <c r="Y521" s="8">
        <v>3.7798066999999998E-2</v>
      </c>
      <c r="Z521" s="8">
        <f t="shared" si="78"/>
        <v>7.2304664338675482E-7</v>
      </c>
      <c r="AA521" s="8">
        <v>2.2712836E-2</v>
      </c>
      <c r="AB521" s="8">
        <f t="shared" si="79"/>
        <v>4.3447829836361333E-7</v>
      </c>
      <c r="AC521" s="8">
        <v>3.6347033639999999</v>
      </c>
      <c r="AD521" s="18">
        <f t="shared" si="80"/>
        <v>6.9528954140611114E-5</v>
      </c>
      <c r="AE521" s="9">
        <v>98.6</v>
      </c>
      <c r="AF521" s="10">
        <v>99.5</v>
      </c>
      <c r="AG521" s="10">
        <v>75.900000000000006</v>
      </c>
      <c r="AH521" s="10">
        <v>97.6</v>
      </c>
      <c r="AI521" s="10">
        <v>100</v>
      </c>
      <c r="AJ521" s="10">
        <v>99.5</v>
      </c>
      <c r="AK521" s="11">
        <v>52276.111570000001</v>
      </c>
      <c r="AL521" s="11">
        <v>7.4819859800000001</v>
      </c>
      <c r="AM521" s="11">
        <v>15508.169180000001</v>
      </c>
      <c r="AN521" s="11">
        <v>45.4</v>
      </c>
      <c r="AO521" s="11">
        <v>85.445999999999998</v>
      </c>
      <c r="AP521" s="19">
        <v>6.0970770999999999</v>
      </c>
    </row>
    <row r="522" spans="2:42">
      <c r="B522" t="s">
        <v>80</v>
      </c>
      <c r="C522" t="s">
        <v>81</v>
      </c>
      <c r="D522" t="s">
        <v>82</v>
      </c>
      <c r="E522" t="s">
        <v>35</v>
      </c>
      <c r="F522" t="s">
        <v>36</v>
      </c>
      <c r="G522" t="s">
        <v>37</v>
      </c>
      <c r="H522" t="s">
        <v>38</v>
      </c>
      <c r="I522" t="s">
        <v>39</v>
      </c>
      <c r="J522" t="s">
        <v>40</v>
      </c>
      <c r="K522">
        <v>2019</v>
      </c>
      <c r="L522">
        <v>0.99547307123502904</v>
      </c>
      <c r="M522" s="17">
        <v>0.16858989999999999</v>
      </c>
      <c r="N522" s="7">
        <f t="shared" si="72"/>
        <v>3.2972490255488509E-6</v>
      </c>
      <c r="O522" s="8">
        <v>46.167687530000002</v>
      </c>
      <c r="P522" s="8">
        <f t="shared" si="73"/>
        <v>9.0293880428267859E-4</v>
      </c>
      <c r="Q522" s="8">
        <v>2.6141388669999999</v>
      </c>
      <c r="R522" s="8">
        <f t="shared" si="74"/>
        <v>5.1126828071344294E-5</v>
      </c>
      <c r="S522" s="8">
        <v>3.2920757510000001</v>
      </c>
      <c r="T522" s="8">
        <f t="shared" si="75"/>
        <v>6.4385788009944556E-5</v>
      </c>
      <c r="U522" s="8">
        <v>9.3226978000000002E-2</v>
      </c>
      <c r="V522" s="8">
        <f t="shared" si="76"/>
        <v>1.8233154083688536E-6</v>
      </c>
      <c r="W522" s="8">
        <v>0.20447206100000001</v>
      </c>
      <c r="X522" s="8">
        <f t="shared" si="77"/>
        <v>3.5660054092875123E-11</v>
      </c>
      <c r="Y522" s="8">
        <v>6.2424984000000003E-2</v>
      </c>
      <c r="Z522" s="8">
        <f t="shared" si="78"/>
        <v>1.2208958998368386E-6</v>
      </c>
      <c r="AA522" s="8">
        <v>0.16400609099999999</v>
      </c>
      <c r="AB522" s="8">
        <f t="shared" si="79"/>
        <v>3.2075997656670189E-6</v>
      </c>
      <c r="AC522" s="8">
        <v>18.682929340000001</v>
      </c>
      <c r="AD522" s="18">
        <f t="shared" si="80"/>
        <v>3.6539715938329069E-4</v>
      </c>
      <c r="AE522" s="9">
        <v>88.6</v>
      </c>
      <c r="AF522" s="10">
        <v>88.1</v>
      </c>
      <c r="AG522" s="10">
        <v>57.1</v>
      </c>
      <c r="AH522" s="10">
        <v>91</v>
      </c>
      <c r="AI522" s="10">
        <v>88.6</v>
      </c>
      <c r="AJ522" s="10">
        <v>85.5</v>
      </c>
      <c r="AK522" s="11">
        <v>51130.472309999997</v>
      </c>
      <c r="AL522" s="11">
        <v>52.0837997</v>
      </c>
      <c r="AM522" s="11">
        <v>7049.5765929999998</v>
      </c>
      <c r="AN522" s="11">
        <v>15.5</v>
      </c>
      <c r="AO522" s="11">
        <v>80.709000000000003</v>
      </c>
      <c r="AP522" s="19">
        <v>1.96486943</v>
      </c>
    </row>
    <row r="523" spans="2:42">
      <c r="B523" t="s">
        <v>83</v>
      </c>
      <c r="C523" t="s">
        <v>84</v>
      </c>
      <c r="D523" t="s">
        <v>85</v>
      </c>
      <c r="E523" t="s">
        <v>35</v>
      </c>
      <c r="F523" t="s">
        <v>36</v>
      </c>
      <c r="G523" t="s">
        <v>37</v>
      </c>
      <c r="H523" t="s">
        <v>38</v>
      </c>
      <c r="I523" t="s">
        <v>39</v>
      </c>
      <c r="J523" t="s">
        <v>40</v>
      </c>
      <c r="K523">
        <v>2019</v>
      </c>
      <c r="L523">
        <v>0.62291059668398097</v>
      </c>
      <c r="M523" s="17">
        <v>19.9416431</v>
      </c>
      <c r="N523" s="7">
        <f t="shared" si="72"/>
        <v>1.1891165471457927E-3</v>
      </c>
      <c r="O523" s="8">
        <v>2.1001687599999999</v>
      </c>
      <c r="P523" s="8">
        <f t="shared" si="73"/>
        <v>1.2523268076714605E-4</v>
      </c>
      <c r="Q523" s="8">
        <v>9.3250327999999993E-2</v>
      </c>
      <c r="R523" s="8">
        <f t="shared" si="74"/>
        <v>5.5605000799343675E-6</v>
      </c>
      <c r="S523" s="8">
        <v>0.116057956</v>
      </c>
      <c r="T523" s="8">
        <f t="shared" si="75"/>
        <v>6.9205147848382834E-6</v>
      </c>
      <c r="U523" s="8">
        <v>3.579296E-3</v>
      </c>
      <c r="V523" s="8">
        <f t="shared" si="76"/>
        <v>2.1343276877384026E-7</v>
      </c>
      <c r="W523" s="8">
        <v>1.1071E-3</v>
      </c>
      <c r="X523" s="8">
        <f t="shared" si="77"/>
        <v>1.272695714086445E-11</v>
      </c>
      <c r="Y523" s="8">
        <v>8.9812799999999995E-3</v>
      </c>
      <c r="Z523" s="8">
        <f t="shared" si="78"/>
        <v>5.3555209111878871E-7</v>
      </c>
      <c r="AA523" s="8">
        <v>2.0127519E-2</v>
      </c>
      <c r="AB523" s="8">
        <f t="shared" si="79"/>
        <v>1.2002002932191349E-6</v>
      </c>
      <c r="AC523" s="8">
        <v>1.572922964</v>
      </c>
      <c r="AD523" s="18">
        <f t="shared" si="80"/>
        <v>9.3793109950804701E-5</v>
      </c>
      <c r="AE523" s="9">
        <v>76.2</v>
      </c>
      <c r="AF523" s="10">
        <v>75.7</v>
      </c>
      <c r="AG523" s="10">
        <v>27.4</v>
      </c>
      <c r="AH523" s="10">
        <v>81.400000000000006</v>
      </c>
      <c r="AI523" s="10">
        <v>59.5</v>
      </c>
      <c r="AJ523" s="10">
        <v>52.7</v>
      </c>
      <c r="AK523" s="11">
        <v>16770.133379999999</v>
      </c>
      <c r="AL523" s="11">
        <v>34.143042199999996</v>
      </c>
      <c r="AM523" s="11">
        <v>3311.953434</v>
      </c>
      <c r="AN523" s="11">
        <v>24.7</v>
      </c>
      <c r="AO523" s="11">
        <v>59.039000000000001</v>
      </c>
      <c r="AP523" s="19">
        <v>7.9252322299999998</v>
      </c>
    </row>
    <row r="524" spans="2:42">
      <c r="B524" t="s">
        <v>86</v>
      </c>
      <c r="C524" t="s">
        <v>87</v>
      </c>
      <c r="D524" t="s">
        <v>88</v>
      </c>
      <c r="E524" t="s">
        <v>35</v>
      </c>
      <c r="F524" t="s">
        <v>36</v>
      </c>
      <c r="G524" t="s">
        <v>37</v>
      </c>
      <c r="H524" t="s">
        <v>38</v>
      </c>
      <c r="I524" t="s">
        <v>39</v>
      </c>
      <c r="J524" t="s">
        <v>40</v>
      </c>
      <c r="K524">
        <v>2019</v>
      </c>
      <c r="L524">
        <v>0.59471505156538795</v>
      </c>
      <c r="M524" s="17">
        <v>17.690351</v>
      </c>
      <c r="N524" s="7">
        <f t="shared" si="72"/>
        <v>2.984669110941816E-4</v>
      </c>
      <c r="O524" s="8">
        <v>37.102445060000001</v>
      </c>
      <c r="P524" s="8">
        <f t="shared" si="73"/>
        <v>6.259826145394049E-4</v>
      </c>
      <c r="Q524" s="8">
        <v>3.1230639629999999</v>
      </c>
      <c r="R524" s="8">
        <f t="shared" si="74"/>
        <v>5.2691507036019996E-5</v>
      </c>
      <c r="S524" s="8">
        <v>10.341080310000001</v>
      </c>
      <c r="T524" s="8">
        <f t="shared" si="75"/>
        <v>1.7447196483001167E-4</v>
      </c>
      <c r="U524" s="8">
        <v>0.210821016</v>
      </c>
      <c r="V524" s="8">
        <f t="shared" si="76"/>
        <v>3.5569162782161321E-6</v>
      </c>
      <c r="W524" s="8">
        <v>0.42619200699999998</v>
      </c>
      <c r="X524" s="8">
        <f t="shared" si="77"/>
        <v>6.0011348253055097E-11</v>
      </c>
      <c r="Y524" s="8">
        <v>0.234711747</v>
      </c>
      <c r="Z524" s="8">
        <f t="shared" si="78"/>
        <v>3.9599943565059299E-6</v>
      </c>
      <c r="AA524" s="8">
        <v>0.27042807699999999</v>
      </c>
      <c r="AB524" s="8">
        <f t="shared" si="79"/>
        <v>4.5625908053112962E-6</v>
      </c>
      <c r="AC524" s="8">
        <v>12.6512887</v>
      </c>
      <c r="AD524" s="18">
        <f t="shared" si="80"/>
        <v>2.1344918818454897E-4</v>
      </c>
      <c r="AE524" s="9">
        <v>95.2</v>
      </c>
      <c r="AF524" s="10">
        <v>91.9</v>
      </c>
      <c r="AG524" s="10">
        <v>65.099999999999994</v>
      </c>
      <c r="AH524" s="10">
        <v>96.2</v>
      </c>
      <c r="AI524" s="10">
        <v>92.4</v>
      </c>
      <c r="AJ524" s="10">
        <v>95.2</v>
      </c>
      <c r="AK524" s="11">
        <v>59270.727650000001</v>
      </c>
      <c r="AL524" s="11">
        <v>47.7002776</v>
      </c>
      <c r="AM524" s="11">
        <v>6580.2925640000003</v>
      </c>
      <c r="AN524" s="11">
        <v>17.100000000000001</v>
      </c>
      <c r="AO524" s="11">
        <v>77.376000000000005</v>
      </c>
      <c r="AP524" s="19">
        <v>1.9069868800000001</v>
      </c>
    </row>
    <row r="525" spans="2:42">
      <c r="B525" t="s">
        <v>89</v>
      </c>
      <c r="C525" t="s">
        <v>90</v>
      </c>
      <c r="D525" t="s">
        <v>91</v>
      </c>
      <c r="E525" t="s">
        <v>35</v>
      </c>
      <c r="F525" t="s">
        <v>36</v>
      </c>
      <c r="G525" t="s">
        <v>37</v>
      </c>
      <c r="H525" t="s">
        <v>38</v>
      </c>
      <c r="I525" t="s">
        <v>39</v>
      </c>
      <c r="J525" t="s">
        <v>40</v>
      </c>
      <c r="K525">
        <v>2019</v>
      </c>
      <c r="L525">
        <v>1.37025920873124</v>
      </c>
      <c r="M525" s="17">
        <v>0.74164416</v>
      </c>
      <c r="N525" s="7">
        <f t="shared" si="72"/>
        <v>2.3229096096162448E-5</v>
      </c>
      <c r="O525" s="8">
        <v>4.223927454</v>
      </c>
      <c r="P525" s="8">
        <f t="shared" si="73"/>
        <v>1.3229796986763138E-4</v>
      </c>
      <c r="Q525" s="8">
        <v>0.256515198</v>
      </c>
      <c r="R525" s="8">
        <f t="shared" si="74"/>
        <v>8.0343330478974403E-6</v>
      </c>
      <c r="S525" s="8">
        <v>2.3188264580000002</v>
      </c>
      <c r="T525" s="8">
        <f t="shared" si="75"/>
        <v>7.2628149088649192E-5</v>
      </c>
      <c r="U525" s="8">
        <v>9.5679270000000004E-3</v>
      </c>
      <c r="V525" s="8">
        <f t="shared" si="76"/>
        <v>2.9967780737876675E-7</v>
      </c>
      <c r="W525" s="8">
        <v>2.2977183000000002E-2</v>
      </c>
      <c r="X525" s="8">
        <f t="shared" si="77"/>
        <v>9.3862325909619944E-12</v>
      </c>
      <c r="Y525" s="8">
        <v>2.0790000000000001E-3</v>
      </c>
      <c r="Z525" s="8">
        <f t="shared" si="78"/>
        <v>6.5116525402049586E-8</v>
      </c>
      <c r="AA525" s="8">
        <v>6.5010077999999999E-2</v>
      </c>
      <c r="AB525" s="8">
        <f t="shared" si="79"/>
        <v>2.0361858564099204E-6</v>
      </c>
      <c r="AC525" s="8">
        <v>4.6162838219999998</v>
      </c>
      <c r="AD525" s="18">
        <f t="shared" si="80"/>
        <v>1.445869950737535E-4</v>
      </c>
      <c r="AE525" s="9">
        <v>56.7</v>
      </c>
      <c r="AF525" s="10">
        <v>64.8</v>
      </c>
      <c r="AG525" s="10">
        <v>54.2</v>
      </c>
      <c r="AH525" s="10">
        <v>70</v>
      </c>
      <c r="AI525" s="10">
        <v>57.6</v>
      </c>
      <c r="AJ525" s="10">
        <v>72.5</v>
      </c>
      <c r="AK525" s="11">
        <v>31927.379219999999</v>
      </c>
      <c r="AL525" s="11">
        <v>45.489264599999998</v>
      </c>
      <c r="AM525" s="11">
        <v>5118.4610629999997</v>
      </c>
      <c r="AN525" s="11">
        <v>18.5</v>
      </c>
      <c r="AO525" s="11">
        <v>79.388000000000005</v>
      </c>
      <c r="AP525" s="19">
        <v>2.4117220100000001</v>
      </c>
    </row>
    <row r="526" spans="2:42">
      <c r="B526" t="s">
        <v>92</v>
      </c>
      <c r="C526" t="s">
        <v>93</v>
      </c>
      <c r="D526" t="s">
        <v>94</v>
      </c>
      <c r="E526" t="s">
        <v>35</v>
      </c>
      <c r="F526" t="s">
        <v>36</v>
      </c>
      <c r="G526" t="s">
        <v>37</v>
      </c>
      <c r="H526" t="s">
        <v>38</v>
      </c>
      <c r="I526" t="s">
        <v>39</v>
      </c>
      <c r="J526" t="s">
        <v>40</v>
      </c>
      <c r="K526">
        <v>2019</v>
      </c>
      <c r="L526">
        <v>0.72035263170407404</v>
      </c>
      <c r="M526" s="17">
        <v>19.9416431</v>
      </c>
      <c r="N526" s="7">
        <f t="shared" si="72"/>
        <v>5.5973035884119941E-4</v>
      </c>
      <c r="O526" s="8">
        <v>3.6043949469999998</v>
      </c>
      <c r="P526" s="8">
        <f t="shared" si="73"/>
        <v>1.0116966124470033E-4</v>
      </c>
      <c r="Q526" s="8">
        <v>0.51455028199999997</v>
      </c>
      <c r="R526" s="8">
        <f t="shared" si="74"/>
        <v>1.4442612002503463E-5</v>
      </c>
      <c r="S526" s="8">
        <v>2.131211016</v>
      </c>
      <c r="T526" s="8">
        <f t="shared" si="75"/>
        <v>5.9819720008528145E-5</v>
      </c>
      <c r="U526" s="8">
        <v>1.7734410999999999E-2</v>
      </c>
      <c r="V526" s="8">
        <f t="shared" si="76"/>
        <v>4.9777684732845884E-7</v>
      </c>
      <c r="W526" s="8">
        <v>3.3520131000000002E-2</v>
      </c>
      <c r="X526" s="8">
        <f t="shared" si="77"/>
        <v>1.3971808239713166E-11</v>
      </c>
      <c r="Y526" s="8">
        <v>5.829908E-3</v>
      </c>
      <c r="Z526" s="8">
        <f t="shared" si="78"/>
        <v>1.6363629017366072E-7</v>
      </c>
      <c r="AA526" s="8">
        <v>2.1198212000000001E-2</v>
      </c>
      <c r="AB526" s="8">
        <f t="shared" si="79"/>
        <v>5.9500025900833725E-7</v>
      </c>
      <c r="AC526" s="8">
        <v>3.4004470470000001</v>
      </c>
      <c r="AD526" s="18">
        <f t="shared" si="80"/>
        <v>9.5445166493718218E-5</v>
      </c>
      <c r="AE526" s="9">
        <v>57.6</v>
      </c>
      <c r="AF526" s="10">
        <v>68.099999999999994</v>
      </c>
      <c r="AG526" s="10">
        <v>71.7</v>
      </c>
      <c r="AH526" s="10">
        <v>72.400000000000006</v>
      </c>
      <c r="AI526" s="10">
        <v>68.599999999999994</v>
      </c>
      <c r="AJ526" s="10">
        <v>58</v>
      </c>
      <c r="AK526" s="11">
        <v>35627.231549999997</v>
      </c>
      <c r="AL526" s="11">
        <v>57.834757799999998</v>
      </c>
      <c r="AM526" s="11">
        <v>4495.4916149999999</v>
      </c>
      <c r="AN526" s="11">
        <v>13.6</v>
      </c>
      <c r="AO526" s="11">
        <v>71.644000000000005</v>
      </c>
      <c r="AP526" s="19">
        <v>59.577549400000002</v>
      </c>
    </row>
    <row r="527" spans="2:42">
      <c r="B527" t="s">
        <v>95</v>
      </c>
      <c r="C527" t="s">
        <v>96</v>
      </c>
      <c r="D527" t="s">
        <v>97</v>
      </c>
      <c r="E527" t="s">
        <v>35</v>
      </c>
      <c r="F527" t="s">
        <v>36</v>
      </c>
      <c r="G527" t="s">
        <v>37</v>
      </c>
      <c r="H527" t="s">
        <v>38</v>
      </c>
      <c r="I527" t="s">
        <v>39</v>
      </c>
      <c r="J527" t="s">
        <v>40</v>
      </c>
      <c r="K527">
        <v>2019</v>
      </c>
      <c r="L527">
        <v>0.61068807605722097</v>
      </c>
      <c r="M527" s="17">
        <v>67.223960899999994</v>
      </c>
      <c r="N527" s="7">
        <f t="shared" si="72"/>
        <v>1.1107025826864088E-3</v>
      </c>
      <c r="O527" s="8">
        <v>0.30708616</v>
      </c>
      <c r="P527" s="8">
        <f t="shared" si="73"/>
        <v>5.0738068160939289E-6</v>
      </c>
      <c r="Q527" s="8">
        <v>1.4022069999999999E-3</v>
      </c>
      <c r="R527" s="8">
        <f t="shared" si="74"/>
        <v>2.3167854370820942E-8</v>
      </c>
      <c r="S527" s="8"/>
      <c r="T527" s="8">
        <f t="shared" si="75"/>
        <v>0</v>
      </c>
      <c r="U527" s="8">
        <v>1.15629E-4</v>
      </c>
      <c r="V527" s="8">
        <f t="shared" si="76"/>
        <v>1.910471016792567E-9</v>
      </c>
      <c r="W527" s="14">
        <v>5.6590600000000003E-6</v>
      </c>
      <c r="X527" s="8">
        <f t="shared" si="77"/>
        <v>3.1565606430950926E-14</v>
      </c>
      <c r="Y527" s="8">
        <v>3.6787299999999998E-3</v>
      </c>
      <c r="Z527" s="8">
        <f t="shared" si="78"/>
        <v>6.0781525772992241E-8</v>
      </c>
      <c r="AA527" s="8">
        <v>2.4127699999999998E-3</v>
      </c>
      <c r="AB527" s="8">
        <f t="shared" si="79"/>
        <v>3.9864801694960615E-8</v>
      </c>
      <c r="AC527" s="8">
        <v>0.29727785400000001</v>
      </c>
      <c r="AD527" s="18">
        <f t="shared" si="80"/>
        <v>4.9117498551513225E-6</v>
      </c>
      <c r="AE527" s="9">
        <v>92.4</v>
      </c>
      <c r="AF527" s="10">
        <v>91</v>
      </c>
      <c r="AG527" s="10">
        <v>99.5</v>
      </c>
      <c r="AH527" s="10">
        <v>90</v>
      </c>
      <c r="AI527" s="10">
        <v>95.2</v>
      </c>
      <c r="AJ527" s="10">
        <v>92.8</v>
      </c>
      <c r="AK527" s="11">
        <v>60523.817940000001</v>
      </c>
      <c r="AL527" s="11">
        <v>18.565902999999999</v>
      </c>
      <c r="AM527" s="11">
        <v>52576.110139999997</v>
      </c>
      <c r="AN527" s="11">
        <v>81.7</v>
      </c>
      <c r="AO527" s="11">
        <v>93.855000000000004</v>
      </c>
      <c r="AP527" s="19">
        <v>-2.2545925000000002</v>
      </c>
    </row>
    <row r="528" spans="2:42">
      <c r="B528" t="s">
        <v>98</v>
      </c>
      <c r="C528" t="s">
        <v>99</v>
      </c>
      <c r="D528" t="s">
        <v>100</v>
      </c>
      <c r="E528" t="s">
        <v>35</v>
      </c>
      <c r="F528" t="s">
        <v>36</v>
      </c>
      <c r="G528" t="s">
        <v>37</v>
      </c>
      <c r="H528" t="s">
        <v>38</v>
      </c>
      <c r="I528" t="s">
        <v>39</v>
      </c>
      <c r="J528" t="s">
        <v>40</v>
      </c>
      <c r="K528">
        <v>2019</v>
      </c>
      <c r="L528">
        <v>0.22749463129345099</v>
      </c>
      <c r="M528" s="17">
        <v>3642.4104400000001</v>
      </c>
      <c r="N528" s="7">
        <f t="shared" si="72"/>
        <v>0.30387682065015614</v>
      </c>
      <c r="O528" s="8">
        <v>114.11149810000001</v>
      </c>
      <c r="P528" s="8">
        <f t="shared" si="73"/>
        <v>9.5200252177660497E-3</v>
      </c>
      <c r="Q528" s="8">
        <v>5.7824563610000004</v>
      </c>
      <c r="R528" s="8">
        <f t="shared" si="74"/>
        <v>4.8241528061536957E-4</v>
      </c>
      <c r="S528" s="8">
        <v>213.66344649999999</v>
      </c>
      <c r="T528" s="8">
        <f t="shared" si="75"/>
        <v>1.7825385107224416E-2</v>
      </c>
      <c r="U528" s="8">
        <v>0.56734260400000003</v>
      </c>
      <c r="V528" s="8">
        <f t="shared" si="76"/>
        <v>4.7331916477512781E-5</v>
      </c>
      <c r="W528" s="8">
        <v>0.28640155</v>
      </c>
      <c r="X528" s="8">
        <f t="shared" si="77"/>
        <v>3.9487785716058187E-9</v>
      </c>
      <c r="Y528" s="8">
        <v>0.117956137</v>
      </c>
      <c r="Z528" s="8">
        <f t="shared" si="78"/>
        <v>9.8407734323686627E-6</v>
      </c>
      <c r="AA528" s="8">
        <v>0.86872980899999996</v>
      </c>
      <c r="AB528" s="8">
        <f t="shared" si="79"/>
        <v>7.2475866383398956E-5</v>
      </c>
      <c r="AC528" s="8">
        <v>46.267824939999997</v>
      </c>
      <c r="AD528" s="18">
        <f t="shared" si="80"/>
        <v>3.8600041848016447E-3</v>
      </c>
      <c r="AE528" s="9">
        <v>35.200000000000003</v>
      </c>
      <c r="AF528" s="10">
        <v>59.5</v>
      </c>
      <c r="AG528" s="10">
        <v>26.9</v>
      </c>
      <c r="AH528" s="10">
        <v>56.7</v>
      </c>
      <c r="AI528" s="10">
        <v>40.5</v>
      </c>
      <c r="AJ528" s="10">
        <v>51.7</v>
      </c>
      <c r="AK528" s="11">
        <v>11986.470149999999</v>
      </c>
      <c r="AL528" s="11">
        <v>29.674005999999999</v>
      </c>
      <c r="AM528" s="11">
        <v>994.53783850000002</v>
      </c>
      <c r="AN528" s="11">
        <v>19.8</v>
      </c>
      <c r="AO528" s="11">
        <v>55.984999999999999</v>
      </c>
      <c r="AP528" s="19">
        <v>2.2333620399999998</v>
      </c>
    </row>
    <row r="529" spans="2:42">
      <c r="B529" t="s">
        <v>101</v>
      </c>
      <c r="C529" t="s">
        <v>102</v>
      </c>
      <c r="D529" t="s">
        <v>103</v>
      </c>
      <c r="E529" t="s">
        <v>35</v>
      </c>
      <c r="F529" t="s">
        <v>36</v>
      </c>
      <c r="G529" t="s">
        <v>37</v>
      </c>
      <c r="H529" t="s">
        <v>38</v>
      </c>
      <c r="I529" t="s">
        <v>39</v>
      </c>
      <c r="J529" t="s">
        <v>40</v>
      </c>
      <c r="K529">
        <v>2019</v>
      </c>
      <c r="L529">
        <v>0.37949033515089498</v>
      </c>
      <c r="M529" s="17">
        <v>61.448864499999999</v>
      </c>
      <c r="N529" s="7">
        <f t="shared" si="72"/>
        <v>6.6775841262157434E-4</v>
      </c>
      <c r="O529" s="8">
        <v>15.566134780000001</v>
      </c>
      <c r="P529" s="8">
        <f t="shared" si="73"/>
        <v>1.6915556594778542E-4</v>
      </c>
      <c r="Q529" s="8">
        <v>0.163830168</v>
      </c>
      <c r="R529" s="8">
        <f t="shared" si="74"/>
        <v>1.7803253780744126E-6</v>
      </c>
      <c r="S529" s="8">
        <v>1.2844900880000001</v>
      </c>
      <c r="T529" s="8">
        <f t="shared" si="75"/>
        <v>1.3958420048445751E-5</v>
      </c>
      <c r="U529" s="8">
        <v>1.1784493E-2</v>
      </c>
      <c r="V529" s="8">
        <f t="shared" si="76"/>
        <v>1.2806085845947658E-7</v>
      </c>
      <c r="W529" s="8">
        <v>2.2188784E-2</v>
      </c>
      <c r="X529" s="8">
        <f t="shared" si="77"/>
        <v>1.3916240155073361E-12</v>
      </c>
      <c r="Y529" s="8"/>
      <c r="Z529" s="8">
        <f t="shared" si="78"/>
        <v>0</v>
      </c>
      <c r="AA529" s="8">
        <v>9.9991249999999993E-3</v>
      </c>
      <c r="AB529" s="8">
        <f t="shared" si="79"/>
        <v>1.086594502914647E-7</v>
      </c>
      <c r="AC529" s="8">
        <v>0.76305351300000002</v>
      </c>
      <c r="AD529" s="18">
        <f t="shared" si="80"/>
        <v>8.2920230785744769E-6</v>
      </c>
      <c r="AE529" s="9">
        <v>90</v>
      </c>
      <c r="AF529" s="10">
        <v>85.7</v>
      </c>
      <c r="AG529" s="10">
        <v>80.7</v>
      </c>
      <c r="AH529" s="10">
        <v>93.3</v>
      </c>
      <c r="AI529" s="10">
        <v>88.1</v>
      </c>
      <c r="AJ529" s="10">
        <v>93.2</v>
      </c>
      <c r="AK529" s="11">
        <v>92022.598800000007</v>
      </c>
      <c r="AL529" s="11">
        <v>65.669908599999999</v>
      </c>
      <c r="AM529" s="11">
        <v>5892.7477710000003</v>
      </c>
      <c r="AN529" s="11">
        <v>12.3</v>
      </c>
      <c r="AO529" s="11">
        <v>63.405000000000001</v>
      </c>
      <c r="AP529" s="19">
        <v>7.6763152400000001</v>
      </c>
    </row>
    <row r="530" spans="2:42">
      <c r="B530" t="s">
        <v>104</v>
      </c>
      <c r="C530" t="s">
        <v>105</v>
      </c>
      <c r="D530" t="s">
        <v>106</v>
      </c>
      <c r="E530" t="s">
        <v>35</v>
      </c>
      <c r="F530" t="s">
        <v>36</v>
      </c>
      <c r="G530" t="s">
        <v>37</v>
      </c>
      <c r="H530" t="s">
        <v>38</v>
      </c>
      <c r="I530" t="s">
        <v>39</v>
      </c>
      <c r="J530" t="s">
        <v>40</v>
      </c>
      <c r="K530">
        <v>2019</v>
      </c>
      <c r="L530">
        <v>0.54161062808920302</v>
      </c>
      <c r="M530" s="17">
        <v>4.4022792700000002</v>
      </c>
      <c r="N530" s="7">
        <f t="shared" si="72"/>
        <v>1.0652777419578745E-4</v>
      </c>
      <c r="O530" s="8">
        <v>1.983418854</v>
      </c>
      <c r="P530" s="8">
        <f t="shared" si="73"/>
        <v>4.7995409390413236E-5</v>
      </c>
      <c r="Q530" s="8">
        <v>1.2162429000000001E-2</v>
      </c>
      <c r="R530" s="8">
        <f t="shared" si="74"/>
        <v>2.9431038121856753E-7</v>
      </c>
      <c r="S530" s="8">
        <v>0.32979268699999997</v>
      </c>
      <c r="T530" s="8">
        <f t="shared" si="75"/>
        <v>7.9804298495033934E-6</v>
      </c>
      <c r="U530" s="8">
        <v>5.9799980000000003E-3</v>
      </c>
      <c r="V530" s="8">
        <f t="shared" si="76"/>
        <v>1.4470592108420704E-7</v>
      </c>
      <c r="W530" s="8">
        <v>3.0067275000000001E-2</v>
      </c>
      <c r="X530" s="8">
        <f t="shared" si="77"/>
        <v>3.5016405685802496E-12</v>
      </c>
      <c r="Y530" s="8">
        <v>1.848E-3</v>
      </c>
      <c r="Z530" s="8">
        <f t="shared" si="78"/>
        <v>4.4718500267661397E-8</v>
      </c>
      <c r="AA530" s="8">
        <v>5.2727996999999999E-2</v>
      </c>
      <c r="AB530" s="8">
        <f t="shared" si="79"/>
        <v>1.2759290843927215E-6</v>
      </c>
      <c r="AC530" s="8">
        <v>6.2563692450000001</v>
      </c>
      <c r="AD530" s="18">
        <f t="shared" si="80"/>
        <v>1.5139364164346375E-4</v>
      </c>
      <c r="AE530" s="9">
        <v>78.099999999999994</v>
      </c>
      <c r="AF530" s="10">
        <v>86.7</v>
      </c>
      <c r="AG530" s="10">
        <v>18.899999999999999</v>
      </c>
      <c r="AH530" s="10">
        <v>87.1</v>
      </c>
      <c r="AI530" s="10">
        <v>81.400000000000006</v>
      </c>
      <c r="AJ530" s="10">
        <v>69.099999999999994</v>
      </c>
      <c r="AK530" s="11">
        <v>41325.178370000001</v>
      </c>
      <c r="AL530" s="11">
        <v>29.5009242</v>
      </c>
      <c r="AM530" s="11">
        <v>6986.0834990000003</v>
      </c>
      <c r="AN530" s="11">
        <v>4.5</v>
      </c>
      <c r="AO530" s="11">
        <v>92.501000000000005</v>
      </c>
      <c r="AP530" s="19">
        <v>4.3336346700000004</v>
      </c>
    </row>
    <row r="531" spans="2:42">
      <c r="B531" t="s">
        <v>107</v>
      </c>
      <c r="C531" t="s">
        <v>108</v>
      </c>
      <c r="D531" t="s">
        <v>109</v>
      </c>
      <c r="E531" t="s">
        <v>35</v>
      </c>
      <c r="F531" t="s">
        <v>36</v>
      </c>
      <c r="G531" t="s">
        <v>37</v>
      </c>
      <c r="H531" t="s">
        <v>38</v>
      </c>
      <c r="I531" t="s">
        <v>39</v>
      </c>
      <c r="J531" t="s">
        <v>40</v>
      </c>
      <c r="K531">
        <v>2019</v>
      </c>
      <c r="L531">
        <v>0.89756783939736196</v>
      </c>
      <c r="M531" s="17">
        <v>81.779148399999997</v>
      </c>
      <c r="N531" s="7">
        <f t="shared" si="72"/>
        <v>1.7525889422154762E-3</v>
      </c>
      <c r="O531" s="8">
        <v>22.481270139999999</v>
      </c>
      <c r="P531" s="8">
        <f t="shared" si="73"/>
        <v>4.8179060585965911E-4</v>
      </c>
      <c r="Q531" s="8">
        <v>2.386700507</v>
      </c>
      <c r="R531" s="8">
        <f t="shared" si="74"/>
        <v>5.1148795246543204E-5</v>
      </c>
      <c r="S531" s="8">
        <v>4.4911561549999997</v>
      </c>
      <c r="T531" s="8">
        <f t="shared" si="75"/>
        <v>9.6248869901608989E-5</v>
      </c>
      <c r="U531" s="8">
        <v>5.1037326000000001E-2</v>
      </c>
      <c r="V531" s="8">
        <f t="shared" si="76"/>
        <v>1.0937684597831595E-6</v>
      </c>
      <c r="W531" s="8">
        <v>0.24819798700000001</v>
      </c>
      <c r="X531" s="8">
        <f t="shared" si="77"/>
        <v>2.344028454030732E-11</v>
      </c>
      <c r="Y531" s="8">
        <v>3.3570734999999997E-2</v>
      </c>
      <c r="Z531" s="8">
        <f t="shared" si="78"/>
        <v>7.1944621696557138E-7</v>
      </c>
      <c r="AA531" s="8">
        <v>0.38978469100000002</v>
      </c>
      <c r="AB531" s="8">
        <f t="shared" si="79"/>
        <v>8.3533804479122734E-6</v>
      </c>
      <c r="AC531" s="8">
        <v>13.264937789999999</v>
      </c>
      <c r="AD531" s="18">
        <f t="shared" si="80"/>
        <v>2.842776397746176E-4</v>
      </c>
      <c r="AE531" s="9">
        <v>61.4</v>
      </c>
      <c r="AF531" s="10">
        <v>68.599999999999994</v>
      </c>
      <c r="AG531" s="10">
        <v>59</v>
      </c>
      <c r="AH531" s="10">
        <v>77.099999999999994</v>
      </c>
      <c r="AI531" s="10">
        <v>60.5</v>
      </c>
      <c r="AJ531" s="10">
        <v>76.8</v>
      </c>
      <c r="AK531" s="11">
        <v>46661.910519999998</v>
      </c>
      <c r="AL531" s="11">
        <v>44.369995600000003</v>
      </c>
      <c r="AM531" s="11">
        <v>5260.0173100000002</v>
      </c>
      <c r="AN531" s="11">
        <v>17.3</v>
      </c>
      <c r="AO531" s="11">
        <v>70.736000000000004</v>
      </c>
      <c r="AP531" s="19">
        <v>1.77066894</v>
      </c>
    </row>
    <row r="532" spans="2:42">
      <c r="B532" t="s">
        <v>110</v>
      </c>
      <c r="C532" t="s">
        <v>111</v>
      </c>
      <c r="D532" t="s">
        <v>112</v>
      </c>
      <c r="E532" t="s">
        <v>35</v>
      </c>
      <c r="F532" t="s">
        <v>36</v>
      </c>
      <c r="G532" t="s">
        <v>37</v>
      </c>
      <c r="H532" t="s">
        <v>38</v>
      </c>
      <c r="I532" t="s">
        <v>39</v>
      </c>
      <c r="J532" t="s">
        <v>40</v>
      </c>
      <c r="K532">
        <v>2019</v>
      </c>
      <c r="L532">
        <v>1.1167699488662199</v>
      </c>
      <c r="M532" s="17">
        <v>1.4092626100000001</v>
      </c>
      <c r="N532" s="7">
        <f t="shared" si="72"/>
        <v>3.3020704326602655E-5</v>
      </c>
      <c r="O532" s="8">
        <v>43.768821940000002</v>
      </c>
      <c r="P532" s="8">
        <f t="shared" si="73"/>
        <v>1.0255557181102386E-3</v>
      </c>
      <c r="Q532" s="8">
        <v>1.1207641370000001</v>
      </c>
      <c r="R532" s="8">
        <f t="shared" si="74"/>
        <v>2.6260840900147768E-5</v>
      </c>
      <c r="S532" s="8">
        <v>3.9176274059999998</v>
      </c>
      <c r="T532" s="8">
        <f t="shared" si="75"/>
        <v>9.1794684196809366E-5</v>
      </c>
      <c r="U532" s="8">
        <v>0.35049151699999997</v>
      </c>
      <c r="V532" s="8">
        <f t="shared" si="76"/>
        <v>8.212434410531495E-6</v>
      </c>
      <c r="W532" s="8">
        <v>0.64562086399999996</v>
      </c>
      <c r="X532" s="8">
        <f t="shared" si="77"/>
        <v>1.9242713639566288E-10</v>
      </c>
      <c r="Y532" s="8">
        <v>0.55458080899999995</v>
      </c>
      <c r="Z532" s="8">
        <f t="shared" si="78"/>
        <v>1.2994490018575812E-5</v>
      </c>
      <c r="AA532" s="8">
        <v>0.53670686099999998</v>
      </c>
      <c r="AB532" s="8">
        <f t="shared" si="79"/>
        <v>1.2575682091743021E-5</v>
      </c>
      <c r="AC532" s="8">
        <v>7.2361205139999996</v>
      </c>
      <c r="AD532" s="18">
        <f t="shared" si="80"/>
        <v>1.6955093697154004E-4</v>
      </c>
      <c r="AE532" s="9">
        <v>89</v>
      </c>
      <c r="AF532" s="10">
        <v>92.9</v>
      </c>
      <c r="AG532" s="10">
        <v>83.5</v>
      </c>
      <c r="AH532" s="10">
        <v>88.6</v>
      </c>
      <c r="AI532" s="10">
        <v>89.5</v>
      </c>
      <c r="AJ532" s="10">
        <v>77.8</v>
      </c>
      <c r="AK532" s="11">
        <v>42678.151140000002</v>
      </c>
      <c r="AL532" s="11">
        <v>12.935528100000001</v>
      </c>
      <c r="AM532" s="11">
        <v>7852.8977439999999</v>
      </c>
      <c r="AN532" s="11">
        <v>7.8</v>
      </c>
      <c r="AO532" s="11">
        <v>91.697999999999993</v>
      </c>
      <c r="AP532" s="19">
        <v>0.78078530999999995</v>
      </c>
    </row>
    <row r="533" spans="2:42">
      <c r="B533" t="s">
        <v>113</v>
      </c>
      <c r="C533" t="s">
        <v>114</v>
      </c>
      <c r="D533" t="s">
        <v>115</v>
      </c>
      <c r="E533" t="s">
        <v>35</v>
      </c>
      <c r="F533" t="s">
        <v>36</v>
      </c>
      <c r="G533" t="s">
        <v>37</v>
      </c>
      <c r="H533" t="s">
        <v>38</v>
      </c>
      <c r="I533" t="s">
        <v>39</v>
      </c>
      <c r="J533" t="s">
        <v>40</v>
      </c>
      <c r="K533">
        <v>2019</v>
      </c>
      <c r="L533">
        <v>0.57809484840713099</v>
      </c>
      <c r="M533" s="17">
        <v>33.6954317</v>
      </c>
      <c r="N533" s="7">
        <f t="shared" si="72"/>
        <v>1.0464713561567425E-3</v>
      </c>
      <c r="O533" s="8">
        <v>1.1852623760000001</v>
      </c>
      <c r="P533" s="8">
        <f t="shared" si="73"/>
        <v>3.6810423948783626E-5</v>
      </c>
      <c r="Q533" s="8">
        <v>0.213115258</v>
      </c>
      <c r="R533" s="8">
        <f t="shared" si="74"/>
        <v>6.6186720812054204E-6</v>
      </c>
      <c r="S533" s="8">
        <v>0.17146692999999999</v>
      </c>
      <c r="T533" s="8">
        <f t="shared" si="75"/>
        <v>5.3252094340472047E-6</v>
      </c>
      <c r="U533" s="8">
        <v>1.6028319999999999E-2</v>
      </c>
      <c r="V533" s="8">
        <f t="shared" si="76"/>
        <v>4.977878875881634E-7</v>
      </c>
      <c r="W533" s="8">
        <v>2.1266174999999998E-2</v>
      </c>
      <c r="X533" s="8">
        <f t="shared" si="77"/>
        <v>1.5459685171589164E-11</v>
      </c>
      <c r="Y533" s="8"/>
      <c r="Z533" s="8">
        <f t="shared" si="78"/>
        <v>0</v>
      </c>
      <c r="AA533" s="8">
        <v>6.5819590000000001E-3</v>
      </c>
      <c r="AB533" s="8">
        <f t="shared" si="79"/>
        <v>2.0441440318148758E-7</v>
      </c>
      <c r="AC533" s="8">
        <v>0.77081471199999996</v>
      </c>
      <c r="AD533" s="18">
        <f t="shared" si="80"/>
        <v>2.3939017140184287E-5</v>
      </c>
      <c r="AE533" s="9">
        <v>66.7</v>
      </c>
      <c r="AF533" s="10">
        <v>82.4</v>
      </c>
      <c r="AG533" s="10">
        <v>59.9</v>
      </c>
      <c r="AH533" s="10">
        <v>83.8</v>
      </c>
      <c r="AI533" s="10">
        <v>80</v>
      </c>
      <c r="AJ533" s="10">
        <v>73.900000000000006</v>
      </c>
      <c r="AK533" s="11">
        <v>32199.09604</v>
      </c>
      <c r="AL533" s="11">
        <v>31.497581400000001</v>
      </c>
      <c r="AM533" s="11">
        <v>3725.0068190000002</v>
      </c>
      <c r="AN533" s="11">
        <v>41.5</v>
      </c>
      <c r="AO533" s="11">
        <v>68.221999999999994</v>
      </c>
      <c r="AP533" s="19">
        <v>3.3710026700000002</v>
      </c>
    </row>
    <row r="534" spans="2:42">
      <c r="B534" t="s">
        <v>116</v>
      </c>
      <c r="C534" t="s">
        <v>117</v>
      </c>
      <c r="D534" t="s">
        <v>118</v>
      </c>
      <c r="E534" t="s">
        <v>35</v>
      </c>
      <c r="F534" t="s">
        <v>36</v>
      </c>
      <c r="G534" t="s">
        <v>37</v>
      </c>
      <c r="H534" t="s">
        <v>38</v>
      </c>
      <c r="I534" t="s">
        <v>39</v>
      </c>
      <c r="J534" t="s">
        <v>40</v>
      </c>
      <c r="K534">
        <v>2019</v>
      </c>
      <c r="L534">
        <v>0.52783161651988697</v>
      </c>
      <c r="M534" s="17">
        <v>91.8713336</v>
      </c>
      <c r="N534" s="7">
        <f t="shared" si="72"/>
        <v>2.2648584339846449E-3</v>
      </c>
      <c r="O534" s="8">
        <v>2.112085553</v>
      </c>
      <c r="P534" s="8">
        <f t="shared" si="73"/>
        <v>5.2068197886801689E-5</v>
      </c>
      <c r="Q534" s="8">
        <v>0.197805752</v>
      </c>
      <c r="R534" s="8">
        <f t="shared" si="74"/>
        <v>4.8764071245383017E-6</v>
      </c>
      <c r="S534" s="8">
        <v>0.26080976299999997</v>
      </c>
      <c r="T534" s="8">
        <f t="shared" si="75"/>
        <v>6.4296137679674038E-6</v>
      </c>
      <c r="U534" s="8">
        <v>5.5836169999999999E-3</v>
      </c>
      <c r="V534" s="8">
        <f t="shared" si="76"/>
        <v>1.3765014133407596E-7</v>
      </c>
      <c r="W534" s="8">
        <v>2.5440502E-2</v>
      </c>
      <c r="X534" s="8">
        <f t="shared" si="77"/>
        <v>3.3934206822013559E-12</v>
      </c>
      <c r="Y534" s="8">
        <v>3.6064000000000001E-3</v>
      </c>
      <c r="Z534" s="8">
        <f t="shared" si="78"/>
        <v>8.8906791011491576E-8</v>
      </c>
      <c r="AA534" s="8">
        <v>1.4328195E-2</v>
      </c>
      <c r="AB534" s="8">
        <f t="shared" si="79"/>
        <v>3.5322588687802202E-7</v>
      </c>
      <c r="AC534" s="8">
        <v>0.94664611200000004</v>
      </c>
      <c r="AD534" s="18">
        <f t="shared" si="80"/>
        <v>2.3337197216455481E-5</v>
      </c>
      <c r="AE534" s="9">
        <v>73.3</v>
      </c>
      <c r="AF534" s="10">
        <v>80.5</v>
      </c>
      <c r="AG534" s="10">
        <v>72.2</v>
      </c>
      <c r="AH534" s="10">
        <v>82.9</v>
      </c>
      <c r="AI534" s="10">
        <v>80.5</v>
      </c>
      <c r="AJ534" s="10">
        <v>80.2</v>
      </c>
      <c r="AK534" s="11">
        <v>40563.83049</v>
      </c>
      <c r="AL534" s="11">
        <v>47.508783100000002</v>
      </c>
      <c r="AM534" s="11">
        <v>4421.4181760000001</v>
      </c>
      <c r="AN534" s="11">
        <v>33.5</v>
      </c>
      <c r="AO534" s="11">
        <v>67.855000000000004</v>
      </c>
      <c r="AP534" s="19">
        <v>6.23035301</v>
      </c>
    </row>
    <row r="535" spans="2:42">
      <c r="B535" t="s">
        <v>119</v>
      </c>
      <c r="C535" t="s">
        <v>120</v>
      </c>
      <c r="D535" t="s">
        <v>121</v>
      </c>
      <c r="E535" t="s">
        <v>35</v>
      </c>
      <c r="F535" t="s">
        <v>36</v>
      </c>
      <c r="G535" t="s">
        <v>37</v>
      </c>
      <c r="H535" t="s">
        <v>38</v>
      </c>
      <c r="I535" t="s">
        <v>39</v>
      </c>
      <c r="J535" t="s">
        <v>40</v>
      </c>
      <c r="K535">
        <v>2019</v>
      </c>
      <c r="L535">
        <v>0.88474597354877904</v>
      </c>
      <c r="M535" s="17">
        <v>12.2526782</v>
      </c>
      <c r="N535" s="7">
        <f t="shared" si="72"/>
        <v>1.0095165653961265E-4</v>
      </c>
      <c r="O535" s="8">
        <v>0.49767588899999998</v>
      </c>
      <c r="P535" s="8">
        <f t="shared" si="73"/>
        <v>4.1004264205987543E-6</v>
      </c>
      <c r="Q535" s="8">
        <v>9.3035440000000004E-3</v>
      </c>
      <c r="R535" s="8">
        <f t="shared" si="74"/>
        <v>7.665329678609972E-8</v>
      </c>
      <c r="S535" s="8">
        <v>2.5932925999999999E-2</v>
      </c>
      <c r="T535" s="8">
        <f t="shared" si="75"/>
        <v>2.136652734925488E-7</v>
      </c>
      <c r="U535" s="8">
        <v>1.800882E-3</v>
      </c>
      <c r="V535" s="8">
        <f t="shared" si="76"/>
        <v>1.4837737363605182E-8</v>
      </c>
      <c r="W535" s="8">
        <v>4.620402E-3</v>
      </c>
      <c r="X535" s="8">
        <f t="shared" si="77"/>
        <v>1.2225034736941415E-13</v>
      </c>
      <c r="Y535" s="8"/>
      <c r="Z535" s="8">
        <f t="shared" si="78"/>
        <v>0</v>
      </c>
      <c r="AA535" s="8">
        <v>4.6542659999999998E-3</v>
      </c>
      <c r="AB535" s="8">
        <f t="shared" si="79"/>
        <v>3.8347196833749931E-8</v>
      </c>
      <c r="AC535" s="8">
        <v>7.9978416999999996E-2</v>
      </c>
      <c r="AD535" s="18">
        <f t="shared" si="80"/>
        <v>6.5895419366893328E-7</v>
      </c>
      <c r="AE535" s="9">
        <v>97.6</v>
      </c>
      <c r="AF535" s="10">
        <v>95.2</v>
      </c>
      <c r="AG535" s="10">
        <v>95.3</v>
      </c>
      <c r="AH535" s="10">
        <v>95.2</v>
      </c>
      <c r="AI535" s="10">
        <v>96.2</v>
      </c>
      <c r="AJ535" s="10">
        <v>97.1</v>
      </c>
      <c r="AK535" s="11">
        <v>121371.7399</v>
      </c>
      <c r="AL535" s="11">
        <v>51.110679500000003</v>
      </c>
      <c r="AM535" s="11">
        <v>12309.657569999999</v>
      </c>
      <c r="AN535" s="11">
        <v>16.399999999999999</v>
      </c>
      <c r="AO535" s="11">
        <v>91.222999999999999</v>
      </c>
      <c r="AP535" s="19">
        <v>234.31061700000001</v>
      </c>
    </row>
    <row r="536" spans="2:42">
      <c r="B536" t="s">
        <v>122</v>
      </c>
      <c r="C536" t="s">
        <v>123</v>
      </c>
      <c r="D536" t="s">
        <v>124</v>
      </c>
      <c r="E536" t="s">
        <v>35</v>
      </c>
      <c r="F536" t="s">
        <v>36</v>
      </c>
      <c r="G536" t="s">
        <v>37</v>
      </c>
      <c r="H536" t="s">
        <v>38</v>
      </c>
      <c r="I536" t="s">
        <v>39</v>
      </c>
      <c r="J536" t="s">
        <v>40</v>
      </c>
      <c r="K536">
        <v>2019</v>
      </c>
      <c r="L536">
        <v>1.21573965207206</v>
      </c>
      <c r="M536" s="17">
        <v>0.11419909</v>
      </c>
      <c r="N536" s="7">
        <f t="shared" si="72"/>
        <v>2.2221245478491426E-6</v>
      </c>
      <c r="O536" s="8">
        <v>5.2085513E-2</v>
      </c>
      <c r="P536" s="8">
        <f t="shared" si="73"/>
        <v>1.0134975420961379E-6</v>
      </c>
      <c r="Q536" s="8">
        <v>1.061413E-3</v>
      </c>
      <c r="R536" s="8">
        <f t="shared" si="74"/>
        <v>2.0653333425916108E-8</v>
      </c>
      <c r="S536" s="8"/>
      <c r="T536" s="8">
        <f t="shared" si="75"/>
        <v>0</v>
      </c>
      <c r="U536" s="14">
        <v>5.3593800000000002E-5</v>
      </c>
      <c r="V536" s="8">
        <f t="shared" si="76"/>
        <v>1.0428463010740049E-9</v>
      </c>
      <c r="W536" s="8">
        <v>3.9354899999999998E-4</v>
      </c>
      <c r="X536" s="8">
        <f t="shared" si="77"/>
        <v>2.0292056313673115E-14</v>
      </c>
      <c r="Y536" s="8"/>
      <c r="Z536" s="8">
        <f t="shared" si="78"/>
        <v>0</v>
      </c>
      <c r="AA536" s="8">
        <v>1.235269E-3</v>
      </c>
      <c r="AB536" s="8">
        <f t="shared" si="79"/>
        <v>2.4036282321488399E-8</v>
      </c>
      <c r="AC536" s="8">
        <v>0.10142764</v>
      </c>
      <c r="AD536" s="18">
        <f t="shared" si="80"/>
        <v>1.9736133508104627E-6</v>
      </c>
      <c r="AE536" s="9">
        <v>60</v>
      </c>
      <c r="AF536" s="10">
        <v>76.7</v>
      </c>
      <c r="AG536" s="10">
        <v>83</v>
      </c>
      <c r="AH536" s="10">
        <v>76.7</v>
      </c>
      <c r="AI536" s="10">
        <v>79</v>
      </c>
      <c r="AJ536" s="10">
        <v>82.6</v>
      </c>
      <c r="AK536" s="11">
        <v>51391.849349999997</v>
      </c>
      <c r="AL536" s="11">
        <v>32.4375</v>
      </c>
      <c r="AM536" s="11">
        <v>5036.593691</v>
      </c>
      <c r="AN536" s="11">
        <v>7.4</v>
      </c>
      <c r="AO536" s="11">
        <v>94.677999999999997</v>
      </c>
      <c r="AP536" s="19">
        <v>198.19959</v>
      </c>
    </row>
    <row r="537" spans="2:42">
      <c r="B537" t="s">
        <v>125</v>
      </c>
      <c r="C537" t="s">
        <v>126</v>
      </c>
      <c r="D537" t="s">
        <v>127</v>
      </c>
      <c r="E537" t="s">
        <v>35</v>
      </c>
      <c r="F537" t="s">
        <v>36</v>
      </c>
      <c r="G537" t="s">
        <v>37</v>
      </c>
      <c r="H537" t="s">
        <v>38</v>
      </c>
      <c r="I537" t="s">
        <v>39</v>
      </c>
      <c r="J537" t="s">
        <v>40</v>
      </c>
      <c r="K537">
        <v>2019</v>
      </c>
      <c r="L537">
        <v>0.81199046621200599</v>
      </c>
      <c r="M537" s="17">
        <v>297.886775</v>
      </c>
      <c r="N537" s="7">
        <f t="shared" si="72"/>
        <v>1.2397939839056684E-2</v>
      </c>
      <c r="O537" s="8">
        <v>2.718046E-2</v>
      </c>
      <c r="P537" s="8">
        <f t="shared" si="73"/>
        <v>1.1312409148673573E-6</v>
      </c>
      <c r="Q537" s="8">
        <v>1.907483E-3</v>
      </c>
      <c r="R537" s="8">
        <f t="shared" si="74"/>
        <v>7.9388752582330516E-8</v>
      </c>
      <c r="S537" s="8">
        <v>1.18575E-3</v>
      </c>
      <c r="T537" s="8">
        <f t="shared" si="75"/>
        <v>4.9350486150858703E-8</v>
      </c>
      <c r="U537" s="8">
        <v>1.1711569999999999E-3</v>
      </c>
      <c r="V537" s="8">
        <f t="shared" si="76"/>
        <v>4.8743130768695949E-8</v>
      </c>
      <c r="W537" s="8">
        <v>6.9684400000000002E-3</v>
      </c>
      <c r="X537" s="8">
        <f t="shared" si="77"/>
        <v>2.0286714737086436E-12</v>
      </c>
      <c r="Y537" s="8"/>
      <c r="Z537" s="8">
        <f t="shared" si="78"/>
        <v>0</v>
      </c>
      <c r="AA537" s="8">
        <v>8.1591349999999997E-3</v>
      </c>
      <c r="AB537" s="8">
        <f t="shared" si="79"/>
        <v>3.3958024779294669E-7</v>
      </c>
      <c r="AC537" s="8">
        <v>0.49375742</v>
      </c>
      <c r="AD537" s="18">
        <f t="shared" si="80"/>
        <v>2.0550005243595805E-5</v>
      </c>
      <c r="AE537" s="9">
        <v>60.5</v>
      </c>
      <c r="AF537" s="10">
        <v>77.099999999999994</v>
      </c>
      <c r="AG537" s="10">
        <v>75</v>
      </c>
      <c r="AH537" s="10">
        <v>81</v>
      </c>
      <c r="AI537" s="10">
        <v>73.8</v>
      </c>
      <c r="AJ537" s="10">
        <v>71.5</v>
      </c>
      <c r="AK537" s="11">
        <v>24027.118930000001</v>
      </c>
      <c r="AL537" s="11">
        <v>43.064596899999998</v>
      </c>
      <c r="AM537" s="11">
        <v>2412.3508569999999</v>
      </c>
      <c r="AN537" s="11">
        <v>8.9</v>
      </c>
      <c r="AO537" s="11">
        <v>40.765999999999998</v>
      </c>
      <c r="AP537" s="19">
        <v>3.0761089400000001</v>
      </c>
    </row>
    <row r="538" spans="2:42">
      <c r="B538" t="s">
        <v>128</v>
      </c>
      <c r="C538" t="s">
        <v>129</v>
      </c>
      <c r="D538" t="s">
        <v>130</v>
      </c>
      <c r="E538" t="s">
        <v>35</v>
      </c>
      <c r="F538" t="s">
        <v>36</v>
      </c>
      <c r="G538" t="s">
        <v>37</v>
      </c>
      <c r="H538" t="s">
        <v>38</v>
      </c>
      <c r="I538" t="s">
        <v>39</v>
      </c>
      <c r="J538" t="s">
        <v>40</v>
      </c>
      <c r="K538">
        <v>2019</v>
      </c>
      <c r="L538">
        <v>7.9997580097443705E-2</v>
      </c>
      <c r="M538" s="17">
        <v>297.886775</v>
      </c>
      <c r="N538" s="7">
        <f t="shared" si="72"/>
        <v>2.2208440772180718E-2</v>
      </c>
      <c r="O538" s="8">
        <v>1.032960809</v>
      </c>
      <c r="P538" s="8">
        <f t="shared" si="73"/>
        <v>7.7010632468193252E-5</v>
      </c>
      <c r="Q538" s="8">
        <v>0.24525419500000001</v>
      </c>
      <c r="R538" s="8">
        <f t="shared" si="74"/>
        <v>1.8284508480735209E-5</v>
      </c>
      <c r="S538" s="8">
        <v>8.8566400000000003E-2</v>
      </c>
      <c r="T538" s="8">
        <f t="shared" si="75"/>
        <v>6.6029169935632973E-6</v>
      </c>
      <c r="U538" s="8">
        <v>8.7133800000000004E-4</v>
      </c>
      <c r="V538" s="8">
        <f t="shared" si="76"/>
        <v>6.4961119423815996E-8</v>
      </c>
      <c r="W538" s="8">
        <v>2.4541229999999999E-3</v>
      </c>
      <c r="X538" s="8">
        <f t="shared" si="77"/>
        <v>4.8430655346091683E-12</v>
      </c>
      <c r="Y538" s="8"/>
      <c r="Z538" s="8">
        <f t="shared" si="78"/>
        <v>0</v>
      </c>
      <c r="AA538" s="8">
        <v>8.4654099999999996E-3</v>
      </c>
      <c r="AB538" s="8">
        <f t="shared" si="79"/>
        <v>6.3112421354464752E-7</v>
      </c>
      <c r="AC538" s="8">
        <v>0.86751626699999995</v>
      </c>
      <c r="AD538" s="18">
        <f t="shared" si="80"/>
        <v>6.4676196634015767E-5</v>
      </c>
      <c r="AE538" s="9">
        <v>29</v>
      </c>
      <c r="AF538" s="10">
        <v>36.200000000000003</v>
      </c>
      <c r="AG538" s="10">
        <v>31.1</v>
      </c>
      <c r="AH538" s="10">
        <v>50.5</v>
      </c>
      <c r="AI538" s="10">
        <v>36.200000000000003</v>
      </c>
      <c r="AJ538" s="10">
        <v>42</v>
      </c>
      <c r="AK538" s="11">
        <v>13413.22329</v>
      </c>
      <c r="AL538" s="11">
        <v>68.771114699999998</v>
      </c>
      <c r="AM538" s="11">
        <v>2166.4845</v>
      </c>
      <c r="AN538" s="11">
        <v>22</v>
      </c>
      <c r="AO538" s="11">
        <v>42.725999999999999</v>
      </c>
      <c r="AP538" s="19">
        <v>4.4421829700000002</v>
      </c>
    </row>
    <row r="539" spans="2:42">
      <c r="B539" t="s">
        <v>131</v>
      </c>
      <c r="C539" t="s">
        <v>132</v>
      </c>
      <c r="D539" t="s">
        <v>133</v>
      </c>
      <c r="E539" t="s">
        <v>35</v>
      </c>
      <c r="F539" t="s">
        <v>36</v>
      </c>
      <c r="G539" t="s">
        <v>37</v>
      </c>
      <c r="H539" t="s">
        <v>38</v>
      </c>
      <c r="I539" t="s">
        <v>39</v>
      </c>
      <c r="J539" t="s">
        <v>40</v>
      </c>
      <c r="K539">
        <v>2019</v>
      </c>
      <c r="L539">
        <v>1.3659592524491</v>
      </c>
      <c r="M539" s="17">
        <v>12.2071554</v>
      </c>
      <c r="N539" s="7">
        <f t="shared" si="72"/>
        <v>1.9579927333955349E-4</v>
      </c>
      <c r="O539" s="8">
        <v>12.65430716</v>
      </c>
      <c r="P539" s="8">
        <f t="shared" si="73"/>
        <v>2.0297145939040875E-4</v>
      </c>
      <c r="Q539" s="8">
        <v>0.30144742299999999</v>
      </c>
      <c r="R539" s="8">
        <f t="shared" si="74"/>
        <v>4.8351302526615663E-6</v>
      </c>
      <c r="S539" s="8">
        <v>2.019956273</v>
      </c>
      <c r="T539" s="8">
        <f t="shared" si="75"/>
        <v>3.2399519582676301E-5</v>
      </c>
      <c r="U539" s="8">
        <v>1.9322583000000001E-2</v>
      </c>
      <c r="V539" s="8">
        <f t="shared" si="76"/>
        <v>3.0992869235065278E-7</v>
      </c>
      <c r="W539" s="8">
        <v>0.14367105799999999</v>
      </c>
      <c r="X539" s="8">
        <f t="shared" si="77"/>
        <v>4.9711673818239301E-12</v>
      </c>
      <c r="Y539" s="8">
        <v>8.9617376999999998E-2</v>
      </c>
      <c r="Z539" s="8">
        <f t="shared" si="78"/>
        <v>1.4374370375588742E-6</v>
      </c>
      <c r="AA539" s="8">
        <v>7.1943574999999996E-2</v>
      </c>
      <c r="AB539" s="8">
        <f t="shared" si="79"/>
        <v>1.1539543198122689E-6</v>
      </c>
      <c r="AC539" s="8">
        <v>5.1652072479999998</v>
      </c>
      <c r="AD539" s="18">
        <f t="shared" si="80"/>
        <v>8.2848443610916491E-5</v>
      </c>
      <c r="AE539" s="9">
        <v>95.7</v>
      </c>
      <c r="AF539" s="10">
        <v>96.7</v>
      </c>
      <c r="AG539" s="10">
        <v>75.5</v>
      </c>
      <c r="AH539" s="10">
        <v>98.1</v>
      </c>
      <c r="AI539" s="10">
        <v>95.7</v>
      </c>
      <c r="AJ539" s="10">
        <v>96.6</v>
      </c>
      <c r="AK539" s="11">
        <v>62345.253850000001</v>
      </c>
      <c r="AL539" s="11">
        <v>53.959014000000003</v>
      </c>
      <c r="AM539" s="11">
        <v>6757.5008040000002</v>
      </c>
      <c r="AN539" s="11">
        <v>8.6</v>
      </c>
      <c r="AO539" s="11">
        <v>91.876000000000005</v>
      </c>
      <c r="AP539" s="19">
        <v>-13.674035999999999</v>
      </c>
    </row>
    <row r="540" spans="2:42">
      <c r="B540" t="s">
        <v>134</v>
      </c>
      <c r="C540" t="s">
        <v>135</v>
      </c>
      <c r="D540" t="s">
        <v>136</v>
      </c>
      <c r="E540" t="s">
        <v>35</v>
      </c>
      <c r="F540" t="s">
        <v>36</v>
      </c>
      <c r="G540" t="s">
        <v>37</v>
      </c>
      <c r="H540" t="s">
        <v>38</v>
      </c>
      <c r="I540" t="s">
        <v>39</v>
      </c>
      <c r="J540" t="s">
        <v>40</v>
      </c>
      <c r="K540">
        <v>2019</v>
      </c>
      <c r="L540">
        <v>0.93206536075368895</v>
      </c>
      <c r="M540" s="17">
        <v>87.641518300000001</v>
      </c>
      <c r="N540" s="7">
        <f t="shared" si="72"/>
        <v>1.2354384783728638E-3</v>
      </c>
      <c r="O540" s="8">
        <v>2.7592446750000001</v>
      </c>
      <c r="P540" s="8">
        <f t="shared" si="73"/>
        <v>3.8895686757407845E-5</v>
      </c>
      <c r="Q540" s="8">
        <v>0.18137493299999999</v>
      </c>
      <c r="R540" s="8">
        <f t="shared" si="74"/>
        <v>2.5567513615347771E-6</v>
      </c>
      <c r="S540" s="8">
        <v>4.1530416539999999</v>
      </c>
      <c r="T540" s="8">
        <f t="shared" si="75"/>
        <v>5.8543342940201903E-5</v>
      </c>
      <c r="U540" s="8">
        <v>3.2536447000000003E-2</v>
      </c>
      <c r="V540" s="8">
        <f t="shared" si="76"/>
        <v>4.5864995669911087E-7</v>
      </c>
      <c r="W540" s="8">
        <v>2.1571111E-2</v>
      </c>
      <c r="X540" s="8">
        <f t="shared" si="77"/>
        <v>6.4653581498955995E-12</v>
      </c>
      <c r="Y540" s="8">
        <v>0.116410018</v>
      </c>
      <c r="Z540" s="8">
        <f t="shared" si="78"/>
        <v>1.6409735738829353E-6</v>
      </c>
      <c r="AA540" s="8">
        <v>3.5410901000000002E-2</v>
      </c>
      <c r="AB540" s="8">
        <f t="shared" si="79"/>
        <v>4.9916969146405259E-7</v>
      </c>
      <c r="AC540" s="8">
        <v>0.66639917199999998</v>
      </c>
      <c r="AD540" s="18">
        <f t="shared" si="80"/>
        <v>9.3938945264098214E-6</v>
      </c>
      <c r="AE540" s="9">
        <v>97.1</v>
      </c>
      <c r="AF540" s="10">
        <v>97.1</v>
      </c>
      <c r="AG540" s="10">
        <v>90.1</v>
      </c>
      <c r="AH540" s="10">
        <v>97.1</v>
      </c>
      <c r="AI540" s="10">
        <v>99.5</v>
      </c>
      <c r="AJ540" s="10">
        <v>100</v>
      </c>
      <c r="AK540" s="11">
        <v>70939.605519999997</v>
      </c>
      <c r="AL540" s="11">
        <v>2.6958920200000001</v>
      </c>
      <c r="AM540" s="11">
        <v>23926.04493</v>
      </c>
      <c r="AN540" s="11">
        <v>59.8</v>
      </c>
      <c r="AO540" s="11">
        <v>82.616</v>
      </c>
      <c r="AP540" s="19">
        <v>3.99513403</v>
      </c>
    </row>
    <row r="541" spans="2:42">
      <c r="B541" t="s">
        <v>137</v>
      </c>
      <c r="C541" t="s">
        <v>138</v>
      </c>
      <c r="D541" t="s">
        <v>139</v>
      </c>
      <c r="E541" t="s">
        <v>35</v>
      </c>
      <c r="F541" t="s">
        <v>36</v>
      </c>
      <c r="G541" t="s">
        <v>37</v>
      </c>
      <c r="H541" t="s">
        <v>38</v>
      </c>
      <c r="I541" t="s">
        <v>39</v>
      </c>
      <c r="J541" t="s">
        <v>40</v>
      </c>
      <c r="K541">
        <v>2019</v>
      </c>
      <c r="L541">
        <v>0.52321618971364603</v>
      </c>
      <c r="M541" s="17">
        <v>1.19416364</v>
      </c>
      <c r="N541" s="7">
        <f t="shared" si="72"/>
        <v>3.3279958637821696E-5</v>
      </c>
      <c r="O541" s="8">
        <v>19.988054349999999</v>
      </c>
      <c r="P541" s="8">
        <f t="shared" si="73"/>
        <v>5.5704394250232912E-4</v>
      </c>
      <c r="Q541" s="8">
        <v>4.1404569029999996</v>
      </c>
      <c r="R541" s="8">
        <f t="shared" si="74"/>
        <v>1.1538974212405539E-4</v>
      </c>
      <c r="S541" s="8">
        <v>17.615248640000001</v>
      </c>
      <c r="T541" s="8">
        <f t="shared" si="75"/>
        <v>4.909165934194286E-4</v>
      </c>
      <c r="U541" s="8">
        <v>0.13494969300000001</v>
      </c>
      <c r="V541" s="8">
        <f t="shared" si="76"/>
        <v>3.7608917662463217E-6</v>
      </c>
      <c r="W541" s="8">
        <v>0.112022763</v>
      </c>
      <c r="X541" s="8">
        <f t="shared" si="77"/>
        <v>1.0481170103454312E-10</v>
      </c>
      <c r="Y541" s="8">
        <v>2.1784965999999999E-2</v>
      </c>
      <c r="Z541" s="8">
        <f t="shared" si="78"/>
        <v>6.0712179061686385E-7</v>
      </c>
      <c r="AA541" s="8">
        <v>0.22618537</v>
      </c>
      <c r="AB541" s="8">
        <f t="shared" si="79"/>
        <v>6.303524496927738E-6</v>
      </c>
      <c r="AC541" s="8">
        <v>9.3221047089999995</v>
      </c>
      <c r="AD541" s="18">
        <f t="shared" si="80"/>
        <v>2.5979626974152628E-4</v>
      </c>
      <c r="AE541" s="9">
        <v>71.400000000000006</v>
      </c>
      <c r="AF541" s="10">
        <v>70.5</v>
      </c>
      <c r="AG541" s="10">
        <v>65.599999999999994</v>
      </c>
      <c r="AH541" s="10">
        <v>80.5</v>
      </c>
      <c r="AI541" s="10">
        <v>63.3</v>
      </c>
      <c r="AJ541" s="10">
        <v>69.599999999999994</v>
      </c>
      <c r="AK541" s="11">
        <v>35882.365510000003</v>
      </c>
      <c r="AL541" s="11">
        <v>47.443729400000002</v>
      </c>
      <c r="AM541" s="11">
        <v>4363.4380970000002</v>
      </c>
      <c r="AN541" s="11">
        <v>15.6</v>
      </c>
      <c r="AO541" s="11">
        <v>60.036999999999999</v>
      </c>
      <c r="AP541" s="19">
        <v>3.15455649</v>
      </c>
    </row>
    <row r="542" spans="2:42">
      <c r="B542" t="s">
        <v>140</v>
      </c>
      <c r="C542" t="s">
        <v>141</v>
      </c>
      <c r="D542" t="s">
        <v>142</v>
      </c>
      <c r="E542" t="s">
        <v>35</v>
      </c>
      <c r="F542" t="s">
        <v>36</v>
      </c>
      <c r="G542" t="s">
        <v>37</v>
      </c>
      <c r="H542" t="s">
        <v>38</v>
      </c>
      <c r="I542" t="s">
        <v>39</v>
      </c>
      <c r="J542" t="s">
        <v>40</v>
      </c>
      <c r="K542">
        <v>2019</v>
      </c>
      <c r="L542">
        <v>0.62822851763757603</v>
      </c>
      <c r="M542" s="17">
        <v>63.095792400000001</v>
      </c>
      <c r="N542" s="7">
        <f t="shared" si="72"/>
        <v>1.6663108059177814E-3</v>
      </c>
      <c r="O542" s="8">
        <v>5.2638647499999998</v>
      </c>
      <c r="P542" s="8">
        <f t="shared" si="73"/>
        <v>1.3901457419234663E-4</v>
      </c>
      <c r="Q542" s="8">
        <v>0.28553401899999997</v>
      </c>
      <c r="R542" s="8">
        <f t="shared" si="74"/>
        <v>7.5407313739803837E-6</v>
      </c>
      <c r="S542" s="8">
        <v>0.69018343900000001</v>
      </c>
      <c r="T542" s="8">
        <f t="shared" si="75"/>
        <v>1.8227207848984806E-5</v>
      </c>
      <c r="U542" s="8">
        <v>4.6239573999999999E-2</v>
      </c>
      <c r="V542" s="8">
        <f t="shared" si="76"/>
        <v>1.2211511875272826E-6</v>
      </c>
      <c r="W542" s="8">
        <v>4.8020053E-2</v>
      </c>
      <c r="X542" s="8">
        <f t="shared" si="77"/>
        <v>3.2249653139090173E-11</v>
      </c>
      <c r="Y542" s="8">
        <v>3.3136699999999999E-3</v>
      </c>
      <c r="Z542" s="8">
        <f t="shared" si="78"/>
        <v>8.7511447565964389E-8</v>
      </c>
      <c r="AA542" s="8">
        <v>2.5151031000000001E-2</v>
      </c>
      <c r="AB542" s="8">
        <f t="shared" si="79"/>
        <v>6.6421916804825017E-7</v>
      </c>
      <c r="AC542" s="8">
        <v>3.5295834039999998</v>
      </c>
      <c r="AD542" s="18">
        <f t="shared" si="80"/>
        <v>9.3213552643698399E-5</v>
      </c>
      <c r="AE542" s="9">
        <v>76.7</v>
      </c>
      <c r="AF542" s="10">
        <v>84.3</v>
      </c>
      <c r="AG542" s="10">
        <v>87.3</v>
      </c>
      <c r="AH542" s="10">
        <v>77.599999999999994</v>
      </c>
      <c r="AI542" s="10">
        <v>83.8</v>
      </c>
      <c r="AJ542" s="10">
        <v>88.4</v>
      </c>
      <c r="AK542" s="11">
        <v>37865.560360000003</v>
      </c>
      <c r="AL542" s="11">
        <v>43.125316599999998</v>
      </c>
      <c r="AM542" s="11">
        <v>5016.9823580000002</v>
      </c>
      <c r="AN542" s="11">
        <v>28.2</v>
      </c>
      <c r="AO542" s="11">
        <v>65.763999999999996</v>
      </c>
      <c r="AP542" s="19">
        <v>4.50389353</v>
      </c>
    </row>
    <row r="543" spans="2:42">
      <c r="B543" t="s">
        <v>143</v>
      </c>
      <c r="C543" t="s">
        <v>144</v>
      </c>
      <c r="D543" t="s">
        <v>145</v>
      </c>
      <c r="E543" t="s">
        <v>35</v>
      </c>
      <c r="F543" t="s">
        <v>36</v>
      </c>
      <c r="G543" t="s">
        <v>37</v>
      </c>
      <c r="H543" t="s">
        <v>38</v>
      </c>
      <c r="I543" t="s">
        <v>39</v>
      </c>
      <c r="J543" t="s">
        <v>40</v>
      </c>
      <c r="K543">
        <v>2019</v>
      </c>
      <c r="L543">
        <v>0.72600515291605106</v>
      </c>
      <c r="M543" s="17">
        <v>12.400616299999999</v>
      </c>
      <c r="N543" s="7">
        <f t="shared" si="72"/>
        <v>3.6864726140506729E-4</v>
      </c>
      <c r="O543" s="8">
        <v>9.1561434659999996</v>
      </c>
      <c r="P543" s="8">
        <f t="shared" si="73"/>
        <v>2.7219511773562423E-4</v>
      </c>
      <c r="Q543" s="8">
        <v>1.155556805</v>
      </c>
      <c r="R543" s="8">
        <f t="shared" si="74"/>
        <v>3.4352554845297439E-5</v>
      </c>
      <c r="S543" s="8">
        <v>3.2579776260000002</v>
      </c>
      <c r="T543" s="8">
        <f t="shared" si="75"/>
        <v>9.6853616020994268E-5</v>
      </c>
      <c r="U543" s="8">
        <v>2.3884592E-2</v>
      </c>
      <c r="V543" s="8">
        <f t="shared" si="76"/>
        <v>7.1004450243149441E-7</v>
      </c>
      <c r="W543" s="8">
        <v>1.6839595999999998E-2</v>
      </c>
      <c r="X543" s="8">
        <f t="shared" si="77"/>
        <v>2.1108302600822674E-11</v>
      </c>
      <c r="Y543" s="8">
        <v>4.4327818999999997E-2</v>
      </c>
      <c r="Z543" s="8">
        <f t="shared" si="78"/>
        <v>1.31778362325504E-6</v>
      </c>
      <c r="AA543" s="8">
        <v>2.5844659999999998E-2</v>
      </c>
      <c r="AB543" s="8">
        <f t="shared" si="79"/>
        <v>7.6831367896973687E-7</v>
      </c>
      <c r="AC543" s="8">
        <v>8.9437029890000002</v>
      </c>
      <c r="AD543" s="18">
        <f t="shared" si="80"/>
        <v>2.6587965742599137E-4</v>
      </c>
      <c r="AE543" s="9">
        <v>47.1</v>
      </c>
      <c r="AF543" s="10">
        <v>42.9</v>
      </c>
      <c r="AG543" s="10">
        <v>63.7</v>
      </c>
      <c r="AH543" s="10">
        <v>66.2</v>
      </c>
      <c r="AI543" s="10">
        <v>63.8</v>
      </c>
      <c r="AJ543" s="10">
        <v>64.3</v>
      </c>
      <c r="AK543" s="11">
        <v>33638.161999999997</v>
      </c>
      <c r="AL543" s="11">
        <v>60.092141900000001</v>
      </c>
      <c r="AM543" s="11">
        <v>2820.5653950000001</v>
      </c>
      <c r="AN543" s="11">
        <v>23.5</v>
      </c>
      <c r="AO543" s="11">
        <v>54.084000000000003</v>
      </c>
      <c r="AP543" s="19">
        <v>2.92654448</v>
      </c>
    </row>
    <row r="544" spans="2:42">
      <c r="B544" t="s">
        <v>146</v>
      </c>
      <c r="C544" t="s">
        <v>147</v>
      </c>
      <c r="D544" t="s">
        <v>148</v>
      </c>
      <c r="E544" t="s">
        <v>35</v>
      </c>
      <c r="F544" t="s">
        <v>36</v>
      </c>
      <c r="G544" t="s">
        <v>37</v>
      </c>
      <c r="H544" t="s">
        <v>38</v>
      </c>
      <c r="I544" t="s">
        <v>39</v>
      </c>
      <c r="J544" t="s">
        <v>40</v>
      </c>
      <c r="K544">
        <v>2019</v>
      </c>
      <c r="L544">
        <v>0.81264354372235403</v>
      </c>
      <c r="M544" s="17">
        <v>1.1608848</v>
      </c>
      <c r="N544" s="7">
        <f t="shared" si="72"/>
        <v>3.4158061339291584E-5</v>
      </c>
      <c r="O544" s="8">
        <v>1.574311926</v>
      </c>
      <c r="P544" s="8">
        <f t="shared" si="73"/>
        <v>4.6322807685556974E-5</v>
      </c>
      <c r="Q544" s="8">
        <v>0.234550538</v>
      </c>
      <c r="R544" s="8">
        <f t="shared" si="74"/>
        <v>6.9014528092432951E-6</v>
      </c>
      <c r="S544" s="8">
        <v>0.69633488700000001</v>
      </c>
      <c r="T544" s="8">
        <f t="shared" si="75"/>
        <v>2.0489069873974292E-5</v>
      </c>
      <c r="U544" s="8">
        <v>2.6801632999999998E-2</v>
      </c>
      <c r="V544" s="8">
        <f t="shared" si="76"/>
        <v>7.8861556633972754E-7</v>
      </c>
      <c r="W544" s="8">
        <v>1.8985947E-2</v>
      </c>
      <c r="X544" s="8">
        <f t="shared" si="77"/>
        <v>2.320435144654541E-11</v>
      </c>
      <c r="Y544" s="8">
        <v>1.2883561999999999E-2</v>
      </c>
      <c r="Z544" s="8">
        <f t="shared" si="78"/>
        <v>3.7908800344751355E-7</v>
      </c>
      <c r="AA544" s="8">
        <v>6.3868459999999998E-3</v>
      </c>
      <c r="AB544" s="8">
        <f t="shared" si="79"/>
        <v>1.8792758543535849E-7</v>
      </c>
      <c r="AC544" s="8">
        <v>3.3406542259999998</v>
      </c>
      <c r="AD544" s="18">
        <f t="shared" si="80"/>
        <v>9.8295948026084617E-5</v>
      </c>
      <c r="AE544" s="9">
        <v>59.5</v>
      </c>
      <c r="AF544" s="10">
        <v>71.400000000000006</v>
      </c>
      <c r="AG544" s="10">
        <v>68.900000000000006</v>
      </c>
      <c r="AH544" s="10">
        <v>79.5</v>
      </c>
      <c r="AI544" s="10">
        <v>69</v>
      </c>
      <c r="AJ544" s="10">
        <v>74.400000000000006</v>
      </c>
      <c r="AK544" s="11">
        <v>33985.675840000004</v>
      </c>
      <c r="AL544" s="11">
        <v>39.205490900000001</v>
      </c>
      <c r="AM544" s="11">
        <v>5213.4641769999998</v>
      </c>
      <c r="AN544" s="11">
        <v>17.600000000000001</v>
      </c>
      <c r="AO544" s="11">
        <v>53.728999999999999</v>
      </c>
      <c r="AP544" s="19">
        <v>2.1539454899999999</v>
      </c>
    </row>
    <row r="545" spans="2:42">
      <c r="B545" t="s">
        <v>149</v>
      </c>
      <c r="C545" t="s">
        <v>150</v>
      </c>
      <c r="D545" t="s">
        <v>151</v>
      </c>
      <c r="E545" t="s">
        <v>35</v>
      </c>
      <c r="F545" t="s">
        <v>36</v>
      </c>
      <c r="G545" t="s">
        <v>37</v>
      </c>
      <c r="H545" t="s">
        <v>38</v>
      </c>
      <c r="I545" t="s">
        <v>39</v>
      </c>
      <c r="J545" t="s">
        <v>40</v>
      </c>
      <c r="K545">
        <v>2019</v>
      </c>
      <c r="L545">
        <v>0.56687703855719096</v>
      </c>
      <c r="M545" s="17">
        <v>77.934927799999997</v>
      </c>
      <c r="N545" s="7">
        <f t="shared" si="72"/>
        <v>1.8392482668400727E-3</v>
      </c>
      <c r="O545" s="8">
        <v>1.5995061939999999</v>
      </c>
      <c r="P545" s="8">
        <f t="shared" si="73"/>
        <v>3.7748017200504305E-5</v>
      </c>
      <c r="Q545" s="8">
        <v>0.14597607700000001</v>
      </c>
      <c r="R545" s="8">
        <f t="shared" si="74"/>
        <v>3.4450053936197143E-6</v>
      </c>
      <c r="S545" s="8">
        <v>1.044597663</v>
      </c>
      <c r="T545" s="8">
        <f t="shared" si="75"/>
        <v>2.4652289999528816E-5</v>
      </c>
      <c r="U545" s="8">
        <v>5.7231469999999996E-3</v>
      </c>
      <c r="V545" s="8">
        <f t="shared" si="76"/>
        <v>1.3506509209367564E-7</v>
      </c>
      <c r="W545" s="8">
        <v>4.4151570000000003E-3</v>
      </c>
      <c r="X545" s="8">
        <f t="shared" si="77"/>
        <v>3.1875083939435911E-12</v>
      </c>
      <c r="Y545" s="8">
        <v>6.4400000000000004E-3</v>
      </c>
      <c r="Z545" s="8">
        <f t="shared" si="78"/>
        <v>1.5198267545517722E-7</v>
      </c>
      <c r="AA545" s="8">
        <v>6.2893539999999996E-3</v>
      </c>
      <c r="AB545" s="8">
        <f t="shared" si="79"/>
        <v>1.4842746083924232E-7</v>
      </c>
      <c r="AC545" s="8">
        <v>0.463210813</v>
      </c>
      <c r="AD545" s="18">
        <f t="shared" si="80"/>
        <v>1.0931679916072638E-5</v>
      </c>
      <c r="AE545" s="9">
        <v>80</v>
      </c>
      <c r="AF545" s="10">
        <v>81.900000000000006</v>
      </c>
      <c r="AG545" s="10">
        <v>74.5</v>
      </c>
      <c r="AH545" s="10">
        <v>79</v>
      </c>
      <c r="AI545" s="10">
        <v>82.9</v>
      </c>
      <c r="AJ545" s="10">
        <v>78.7</v>
      </c>
      <c r="AK545" s="11">
        <v>42373.250639999998</v>
      </c>
      <c r="AL545" s="11">
        <v>30.406626800000002</v>
      </c>
      <c r="AM545" s="11">
        <v>7145.7130749999997</v>
      </c>
      <c r="AN545" s="11">
        <v>20.9</v>
      </c>
      <c r="AO545" s="11">
        <v>54.822000000000003</v>
      </c>
      <c r="AP545" s="19">
        <v>3.9909861200000001</v>
      </c>
    </row>
    <row r="546" spans="2:42">
      <c r="B546" t="s">
        <v>152</v>
      </c>
      <c r="C546" t="s">
        <v>153</v>
      </c>
      <c r="D546" t="s">
        <v>154</v>
      </c>
      <c r="E546" t="s">
        <v>35</v>
      </c>
      <c r="F546" t="s">
        <v>36</v>
      </c>
      <c r="G546" t="s">
        <v>37</v>
      </c>
      <c r="H546" t="s">
        <v>38</v>
      </c>
      <c r="I546" t="s">
        <v>39</v>
      </c>
      <c r="J546" t="s">
        <v>40</v>
      </c>
      <c r="K546">
        <v>2019</v>
      </c>
      <c r="L546">
        <v>0.85962832747363105</v>
      </c>
      <c r="M546" s="17">
        <v>1.1608848</v>
      </c>
      <c r="N546" s="7">
        <f t="shared" si="72"/>
        <v>2.6358131592722132E-5</v>
      </c>
      <c r="O546" s="8">
        <v>28.222240670000001</v>
      </c>
      <c r="P546" s="8">
        <f t="shared" si="73"/>
        <v>6.4079186274239655E-4</v>
      </c>
      <c r="Q546" s="8">
        <v>0.82234576800000003</v>
      </c>
      <c r="R546" s="8">
        <f t="shared" si="74"/>
        <v>1.8671532237877646E-5</v>
      </c>
      <c r="S546" s="8">
        <v>1.190361357</v>
      </c>
      <c r="T546" s="8">
        <f t="shared" si="75"/>
        <v>2.7027402969439593E-5</v>
      </c>
      <c r="U546" s="8">
        <v>0.101161956</v>
      </c>
      <c r="V546" s="8">
        <f t="shared" si="76"/>
        <v>2.2969033175601628E-6</v>
      </c>
      <c r="W546" s="8">
        <v>0.12825397899999999</v>
      </c>
      <c r="X546" s="8">
        <f t="shared" si="77"/>
        <v>5.2151669054509803E-11</v>
      </c>
      <c r="Y546" s="8">
        <v>4.0920373000000003E-2</v>
      </c>
      <c r="Z546" s="8">
        <f t="shared" si="78"/>
        <v>9.2910560665216194E-7</v>
      </c>
      <c r="AA546" s="8">
        <v>0.15581323599999999</v>
      </c>
      <c r="AB546" s="8">
        <f t="shared" si="79"/>
        <v>3.5377720324840751E-6</v>
      </c>
      <c r="AC546" s="8">
        <v>15.127752129999999</v>
      </c>
      <c r="AD546" s="18">
        <f t="shared" si="80"/>
        <v>3.4347876838823496E-4</v>
      </c>
      <c r="AE546" s="9">
        <v>73.8</v>
      </c>
      <c r="AF546" s="10">
        <v>79.5</v>
      </c>
      <c r="AG546" s="10">
        <v>58</v>
      </c>
      <c r="AH546" s="10">
        <v>81.900000000000006</v>
      </c>
      <c r="AI546" s="10">
        <v>81</v>
      </c>
      <c r="AJ546" s="10">
        <v>80.7</v>
      </c>
      <c r="AK546" s="11">
        <v>44042.757579999998</v>
      </c>
      <c r="AL546" s="11">
        <v>52.458491700000003</v>
      </c>
      <c r="AM546" s="11">
        <v>5418.8693309999999</v>
      </c>
      <c r="AN546" s="11">
        <v>16.7</v>
      </c>
      <c r="AO546" s="11">
        <v>80.564999999999998</v>
      </c>
      <c r="AP546" s="19">
        <v>2.1605237499999999</v>
      </c>
    </row>
    <row r="547" spans="2:42">
      <c r="B547" t="s">
        <v>155</v>
      </c>
      <c r="C547" t="s">
        <v>156</v>
      </c>
      <c r="D547" t="s">
        <v>157</v>
      </c>
      <c r="E547" t="s">
        <v>35</v>
      </c>
      <c r="F547" t="s">
        <v>36</v>
      </c>
      <c r="G547" t="s">
        <v>37</v>
      </c>
      <c r="H547" t="s">
        <v>38</v>
      </c>
      <c r="I547" t="s">
        <v>39</v>
      </c>
      <c r="J547" t="s">
        <v>40</v>
      </c>
      <c r="K547">
        <v>2019</v>
      </c>
      <c r="L547">
        <v>0.49269063665991403</v>
      </c>
      <c r="M547" s="17">
        <v>53.3571727</v>
      </c>
      <c r="N547" s="7">
        <f t="shared" si="72"/>
        <v>9.3532859891128247E-4</v>
      </c>
      <c r="O547" s="8">
        <v>3.9120242250000001</v>
      </c>
      <c r="P547" s="8">
        <f t="shared" si="73"/>
        <v>6.8576124860458468E-5</v>
      </c>
      <c r="Q547" s="8">
        <v>0.33395645800000001</v>
      </c>
      <c r="R547" s="8">
        <f t="shared" si="74"/>
        <v>5.8541150168272418E-6</v>
      </c>
      <c r="S547" s="8">
        <v>0.170585244</v>
      </c>
      <c r="T547" s="8">
        <f t="shared" si="75"/>
        <v>2.9902869509699352E-6</v>
      </c>
      <c r="U547" s="8">
        <v>0.17259143099999999</v>
      </c>
      <c r="V547" s="8">
        <f t="shared" si="76"/>
        <v>3.0254545578897076E-6</v>
      </c>
      <c r="W547" s="8">
        <v>0.21715565000000001</v>
      </c>
      <c r="X547" s="8">
        <f t="shared" si="77"/>
        <v>5.3034934752094425E-11</v>
      </c>
      <c r="Y547" s="8">
        <v>1.1418104E-2</v>
      </c>
      <c r="Z547" s="8">
        <f t="shared" si="78"/>
        <v>2.0015451861720009E-7</v>
      </c>
      <c r="AA547" s="8">
        <v>7.1815814000000006E-2</v>
      </c>
      <c r="AB547" s="8">
        <f t="shared" si="79"/>
        <v>1.2589007492200439E-6</v>
      </c>
      <c r="AC547" s="8">
        <v>3.1424123329999998</v>
      </c>
      <c r="AD547" s="18">
        <f t="shared" si="80"/>
        <v>5.5085154926629467E-5</v>
      </c>
      <c r="AE547" s="9">
        <v>98.1</v>
      </c>
      <c r="AF547" s="10">
        <v>94.8</v>
      </c>
      <c r="AG547" s="10">
        <v>82.5</v>
      </c>
      <c r="AH547" s="10">
        <v>96.7</v>
      </c>
      <c r="AI547" s="10">
        <v>96.7</v>
      </c>
      <c r="AJ547" s="10">
        <v>99</v>
      </c>
      <c r="AK547" s="11">
        <v>57046.446309999999</v>
      </c>
      <c r="AL547" s="11">
        <v>7.37821646</v>
      </c>
      <c r="AM547" s="11">
        <v>12811.50381</v>
      </c>
      <c r="AN547" s="11">
        <v>52.9</v>
      </c>
      <c r="AO547" s="11">
        <v>87.707999999999998</v>
      </c>
      <c r="AP547" s="19">
        <v>2.9844751700000001</v>
      </c>
    </row>
    <row r="548" spans="2:42">
      <c r="B548" t="s">
        <v>158</v>
      </c>
      <c r="C548" t="s">
        <v>159</v>
      </c>
      <c r="D548" t="s">
        <v>160</v>
      </c>
      <c r="E548" t="s">
        <v>35</v>
      </c>
      <c r="F548" t="s">
        <v>36</v>
      </c>
      <c r="G548" t="s">
        <v>37</v>
      </c>
      <c r="H548" t="s">
        <v>38</v>
      </c>
      <c r="I548" t="s">
        <v>39</v>
      </c>
      <c r="J548" t="s">
        <v>40</v>
      </c>
      <c r="K548">
        <v>2019</v>
      </c>
      <c r="L548">
        <v>0.54658027116203201</v>
      </c>
      <c r="M548" s="17">
        <v>77.934927799999997</v>
      </c>
      <c r="N548" s="7">
        <f t="shared" si="72"/>
        <v>1.0569993904455792E-3</v>
      </c>
      <c r="O548" s="8">
        <v>4.0841372140000001</v>
      </c>
      <c r="P548" s="8">
        <f t="shared" si="73"/>
        <v>5.5391474240823077E-5</v>
      </c>
      <c r="Q548" s="8">
        <v>0.26118337400000002</v>
      </c>
      <c r="R548" s="8">
        <f t="shared" si="74"/>
        <v>3.5423227416208601E-6</v>
      </c>
      <c r="S548" s="8">
        <v>0.90911826399999995</v>
      </c>
      <c r="T548" s="8">
        <f t="shared" si="75"/>
        <v>1.232999731977609E-5</v>
      </c>
      <c r="U548" s="8">
        <v>1.8920564000000001E-2</v>
      </c>
      <c r="V548" s="8">
        <f t="shared" si="76"/>
        <v>2.5661183219684166E-7</v>
      </c>
      <c r="W548" s="8">
        <v>4.7300729E-2</v>
      </c>
      <c r="X548" s="8">
        <f t="shared" si="77"/>
        <v>3.4803207992858999E-12</v>
      </c>
      <c r="Y548" s="8">
        <v>2.90332E-3</v>
      </c>
      <c r="Z548" s="8">
        <f t="shared" si="78"/>
        <v>3.9376535744586387E-8</v>
      </c>
      <c r="AA548" s="8">
        <v>2.5980023000000001E-2</v>
      </c>
      <c r="AB548" s="8">
        <f t="shared" si="79"/>
        <v>3.5235637280929295E-7</v>
      </c>
      <c r="AC548" s="8">
        <v>0.23203544000000001</v>
      </c>
      <c r="AD548" s="18">
        <f t="shared" si="80"/>
        <v>3.147001294094633E-6</v>
      </c>
      <c r="AE548" s="9">
        <v>96.7</v>
      </c>
      <c r="AF548" s="10">
        <v>99</v>
      </c>
      <c r="AG548" s="10">
        <v>94.3</v>
      </c>
      <c r="AH548" s="10">
        <v>94.8</v>
      </c>
      <c r="AI548" s="10">
        <v>99</v>
      </c>
      <c r="AJ548" s="10">
        <v>97.6</v>
      </c>
      <c r="AK548" s="11">
        <v>73732.235329999996</v>
      </c>
      <c r="AL548" s="11">
        <v>38.105034099999997</v>
      </c>
      <c r="AM548" s="11">
        <v>7354.0455819999997</v>
      </c>
      <c r="AN548" s="11">
        <v>24.8</v>
      </c>
      <c r="AO548" s="11">
        <v>73.849000000000004</v>
      </c>
      <c r="AP548" s="19">
        <v>2.8234853599999998</v>
      </c>
    </row>
    <row r="549" spans="2:42">
      <c r="B549" t="s">
        <v>161</v>
      </c>
      <c r="C549" t="s">
        <v>162</v>
      </c>
      <c r="D549" t="s">
        <v>163</v>
      </c>
      <c r="E549" t="s">
        <v>35</v>
      </c>
      <c r="F549" t="s">
        <v>36</v>
      </c>
      <c r="G549" t="s">
        <v>37</v>
      </c>
      <c r="H549" t="s">
        <v>38</v>
      </c>
      <c r="I549" t="s">
        <v>39</v>
      </c>
      <c r="J549" t="s">
        <v>40</v>
      </c>
      <c r="K549">
        <v>2019</v>
      </c>
      <c r="L549">
        <v>0.30548515023015199</v>
      </c>
      <c r="M549" s="17">
        <v>80.116405499999999</v>
      </c>
      <c r="N549" s="7">
        <f t="shared" si="72"/>
        <v>2.8149363974302728E-3</v>
      </c>
      <c r="O549" s="8">
        <v>47.457241189999998</v>
      </c>
      <c r="P549" s="8">
        <f t="shared" si="73"/>
        <v>1.667437707840726E-3</v>
      </c>
      <c r="Q549" s="8">
        <v>1.1347217519999999</v>
      </c>
      <c r="R549" s="8">
        <f t="shared" si="74"/>
        <v>3.986910721625731E-5</v>
      </c>
      <c r="S549" s="8">
        <v>8.5151064860000005</v>
      </c>
      <c r="T549" s="8">
        <f t="shared" si="75"/>
        <v>2.9918320755710877E-4</v>
      </c>
      <c r="U549" s="8">
        <v>0.10213278200000001</v>
      </c>
      <c r="V549" s="8">
        <f t="shared" si="76"/>
        <v>3.5884945614866786E-6</v>
      </c>
      <c r="W549" s="8">
        <v>7.7789009000000006E-2</v>
      </c>
      <c r="X549" s="8">
        <f t="shared" si="77"/>
        <v>1.2608383876020796E-10</v>
      </c>
      <c r="Y549" s="8">
        <v>1.7176139E-2</v>
      </c>
      <c r="Z549" s="8">
        <f t="shared" si="78"/>
        <v>6.0349361078639018E-7</v>
      </c>
      <c r="AA549" s="8">
        <v>0.31604531800000002</v>
      </c>
      <c r="AB549" s="8">
        <f t="shared" si="79"/>
        <v>1.1104435643653846E-5</v>
      </c>
      <c r="AC549" s="8">
        <v>57.71325701</v>
      </c>
      <c r="AD549" s="18">
        <f t="shared" si="80"/>
        <v>2.027788775068008E-3</v>
      </c>
      <c r="AE549" s="9">
        <v>42.9</v>
      </c>
      <c r="AF549" s="10">
        <v>51</v>
      </c>
      <c r="AG549" s="10">
        <v>9.9</v>
      </c>
      <c r="AH549" s="10">
        <v>52.4</v>
      </c>
      <c r="AI549" s="10">
        <v>41</v>
      </c>
      <c r="AJ549" s="10">
        <v>24.2</v>
      </c>
      <c r="AK549" s="11">
        <v>28461.17787</v>
      </c>
      <c r="AL549" s="11">
        <v>49.005366199999997</v>
      </c>
      <c r="AM549" s="11">
        <v>3294.2219030000001</v>
      </c>
      <c r="AN549" s="11">
        <v>14.1</v>
      </c>
      <c r="AO549" s="11">
        <v>75.63</v>
      </c>
      <c r="AP549" s="19">
        <v>1.2492675600000001</v>
      </c>
    </row>
    <row r="550" spans="2:42">
      <c r="B550" t="s">
        <v>164</v>
      </c>
      <c r="C550" t="s">
        <v>165</v>
      </c>
      <c r="D550" t="s">
        <v>166</v>
      </c>
      <c r="E550" t="s">
        <v>35</v>
      </c>
      <c r="F550" t="s">
        <v>36</v>
      </c>
      <c r="G550" t="s">
        <v>37</v>
      </c>
      <c r="H550" t="s">
        <v>38</v>
      </c>
      <c r="I550" t="s">
        <v>39</v>
      </c>
      <c r="J550" t="s">
        <v>40</v>
      </c>
      <c r="K550">
        <v>2019</v>
      </c>
      <c r="L550">
        <v>0.11943261800958201</v>
      </c>
      <c r="M550" s="17">
        <v>49.173840800000001</v>
      </c>
      <c r="N550" s="7">
        <f t="shared" si="72"/>
        <v>2.0141867528644067E-2</v>
      </c>
      <c r="O550" s="8">
        <v>18.812728440000001</v>
      </c>
      <c r="P550" s="8">
        <f t="shared" si="73"/>
        <v>7.7057939328350113E-3</v>
      </c>
      <c r="Q550" s="8">
        <v>3.473216276</v>
      </c>
      <c r="R550" s="8">
        <f t="shared" si="74"/>
        <v>1.4226479158716125E-3</v>
      </c>
      <c r="S550" s="8">
        <v>7.1566634100000002</v>
      </c>
      <c r="T550" s="8">
        <f t="shared" si="75"/>
        <v>2.9314075127382386E-3</v>
      </c>
      <c r="U550" s="8">
        <v>0.19358599800000001</v>
      </c>
      <c r="V550" s="8">
        <f t="shared" si="76"/>
        <v>7.9293857540539217E-5</v>
      </c>
      <c r="W550" s="8">
        <v>2.8174979999999999E-3</v>
      </c>
      <c r="X550" s="8">
        <f t="shared" si="77"/>
        <v>3.2479187072503703E-8</v>
      </c>
      <c r="Y550" s="8"/>
      <c r="Z550" s="8">
        <f t="shared" si="78"/>
        <v>0</v>
      </c>
      <c r="AA550" s="8">
        <v>2.4069515999999999E-2</v>
      </c>
      <c r="AB550" s="8">
        <f t="shared" si="79"/>
        <v>9.8590021617871829E-6</v>
      </c>
      <c r="AC550" s="8">
        <v>3.333332934</v>
      </c>
      <c r="AD550" s="18">
        <f t="shared" si="80"/>
        <v>1.365350952726362E-3</v>
      </c>
      <c r="AE550" s="9">
        <v>11.4</v>
      </c>
      <c r="AF550" s="10">
        <v>28.1</v>
      </c>
      <c r="AG550" s="10">
        <v>22.2</v>
      </c>
      <c r="AH550" s="10">
        <v>36.700000000000003</v>
      </c>
      <c r="AI550" s="10">
        <v>41.4</v>
      </c>
      <c r="AJ550" s="10">
        <v>29</v>
      </c>
      <c r="AK550" s="11">
        <v>2441.374452</v>
      </c>
      <c r="AL550" s="11">
        <v>71.888091000000003</v>
      </c>
      <c r="AM550" s="11">
        <v>80.744867679999999</v>
      </c>
      <c r="AN550" s="11">
        <v>90.5</v>
      </c>
      <c r="AO550" s="11">
        <v>24.361000000000001</v>
      </c>
      <c r="AP550" s="19">
        <v>3.6856780200000001</v>
      </c>
    </row>
    <row r="551" spans="2:42">
      <c r="B551" t="s">
        <v>167</v>
      </c>
      <c r="C551" t="s">
        <v>168</v>
      </c>
      <c r="D551" t="s">
        <v>169</v>
      </c>
      <c r="E551" t="s">
        <v>35</v>
      </c>
      <c r="F551" t="s">
        <v>36</v>
      </c>
      <c r="G551" t="s">
        <v>37</v>
      </c>
      <c r="H551" t="s">
        <v>38</v>
      </c>
      <c r="I551" t="s">
        <v>39</v>
      </c>
      <c r="J551" t="s">
        <v>40</v>
      </c>
      <c r="K551">
        <v>2019</v>
      </c>
      <c r="L551">
        <v>0.24467225418498101</v>
      </c>
      <c r="M551" s="17">
        <v>51278.347900000001</v>
      </c>
      <c r="N551" s="7">
        <f t="shared" si="72"/>
        <v>3.6067098437646257</v>
      </c>
      <c r="O551" s="8">
        <v>12.71585494</v>
      </c>
      <c r="P551" s="8">
        <f t="shared" si="73"/>
        <v>8.9438137268812133E-4</v>
      </c>
      <c r="Q551" s="8">
        <v>0.833618631</v>
      </c>
      <c r="R551" s="8">
        <f t="shared" si="74"/>
        <v>5.8633334448228022E-5</v>
      </c>
      <c r="S551" s="8">
        <v>40.993912649999999</v>
      </c>
      <c r="T551" s="8">
        <f t="shared" si="75"/>
        <v>2.8833446151096107E-3</v>
      </c>
      <c r="U551" s="8">
        <v>4.9188174000000001E-2</v>
      </c>
      <c r="V551" s="8">
        <f t="shared" si="76"/>
        <v>3.4596955367707394E-6</v>
      </c>
      <c r="W551" s="8">
        <v>5.7562400999999999E-2</v>
      </c>
      <c r="X551" s="8">
        <f t="shared" si="77"/>
        <v>2.4334087309586598E-10</v>
      </c>
      <c r="Y551" s="8">
        <v>0.11079304099999999</v>
      </c>
      <c r="Z551" s="8">
        <f t="shared" si="78"/>
        <v>7.7927306155531927E-6</v>
      </c>
      <c r="AA551" s="8">
        <v>0.104823768</v>
      </c>
      <c r="AB551" s="8">
        <f t="shared" si="79"/>
        <v>7.3728762994351334E-6</v>
      </c>
      <c r="AC551" s="8">
        <v>9.5486880809999999</v>
      </c>
      <c r="AD551" s="18">
        <f t="shared" si="80"/>
        <v>6.7161577365835242E-4</v>
      </c>
      <c r="AE551" s="9">
        <v>24.8</v>
      </c>
      <c r="AF551" s="10">
        <v>38.6</v>
      </c>
      <c r="AG551" s="10">
        <v>9</v>
      </c>
      <c r="AH551" s="10">
        <v>44.8</v>
      </c>
      <c r="AI551" s="10">
        <v>24.8</v>
      </c>
      <c r="AJ551" s="10">
        <v>46.9</v>
      </c>
      <c r="AK551" s="11">
        <v>14217.48633</v>
      </c>
      <c r="AL551" s="11">
        <v>71.299620300000001</v>
      </c>
      <c r="AM551" s="11">
        <v>2973.0773479999998</v>
      </c>
      <c r="AN551" s="11">
        <v>7.4</v>
      </c>
      <c r="AO551" s="11">
        <v>69.472999999999999</v>
      </c>
      <c r="AP551" s="19">
        <v>3.7664967599999999</v>
      </c>
    </row>
    <row r="552" spans="2:42">
      <c r="B552" t="s">
        <v>170</v>
      </c>
      <c r="C552" t="s">
        <v>171</v>
      </c>
      <c r="D552" t="s">
        <v>172</v>
      </c>
      <c r="E552" t="s">
        <v>35</v>
      </c>
      <c r="F552" t="s">
        <v>36</v>
      </c>
      <c r="G552" t="s">
        <v>37</v>
      </c>
      <c r="H552" t="s">
        <v>38</v>
      </c>
      <c r="I552" t="s">
        <v>39</v>
      </c>
      <c r="J552" t="s">
        <v>40</v>
      </c>
      <c r="K552">
        <v>2019</v>
      </c>
      <c r="L552">
        <v>0.64200368645531403</v>
      </c>
      <c r="M552" s="17">
        <v>296.85535099999998</v>
      </c>
      <c r="N552" s="7">
        <f t="shared" si="72"/>
        <v>5.9294034725990803E-3</v>
      </c>
      <c r="O552" s="8">
        <v>32.479861530000001</v>
      </c>
      <c r="P552" s="8">
        <f t="shared" si="73"/>
        <v>6.4875436166727304E-4</v>
      </c>
      <c r="Q552" s="8">
        <v>0.78175191200000005</v>
      </c>
      <c r="R552" s="8">
        <f t="shared" si="74"/>
        <v>1.561475138012173E-5</v>
      </c>
      <c r="S552" s="8">
        <v>4.1844600590000001</v>
      </c>
      <c r="T552" s="8">
        <f t="shared" si="75"/>
        <v>8.3580612312380903E-5</v>
      </c>
      <c r="U552" s="8">
        <v>7.3763785999999998E-2</v>
      </c>
      <c r="V552" s="8">
        <f t="shared" si="76"/>
        <v>1.4733615122216726E-6</v>
      </c>
      <c r="W552" s="8">
        <v>0.358570414</v>
      </c>
      <c r="X552" s="8">
        <f t="shared" si="77"/>
        <v>2.9428995763532719E-11</v>
      </c>
      <c r="Y552" s="8">
        <v>6.3037568000000002E-2</v>
      </c>
      <c r="Z552" s="8">
        <f t="shared" si="78"/>
        <v>1.2591155030363616E-6</v>
      </c>
      <c r="AA552" s="8">
        <v>0.141194762</v>
      </c>
      <c r="AB552" s="8">
        <f t="shared" si="79"/>
        <v>2.8202311640850316E-6</v>
      </c>
      <c r="AC552" s="8">
        <v>9.5133079719999998</v>
      </c>
      <c r="AD552" s="18">
        <f t="shared" si="80"/>
        <v>1.9001928425767644E-4</v>
      </c>
      <c r="AE552" s="9">
        <v>93.3</v>
      </c>
      <c r="AF552" s="10">
        <v>90</v>
      </c>
      <c r="AG552" s="10">
        <v>62.3</v>
      </c>
      <c r="AH552" s="10">
        <v>93.8</v>
      </c>
      <c r="AI552" s="10">
        <v>91.9</v>
      </c>
      <c r="AJ552" s="10">
        <v>91.8</v>
      </c>
      <c r="AK552" s="11">
        <v>50064.96056</v>
      </c>
      <c r="AL552" s="11">
        <v>72.422998800000002</v>
      </c>
      <c r="AM552" s="11">
        <v>4775.4048419999999</v>
      </c>
      <c r="AN552" s="11">
        <v>11.4</v>
      </c>
      <c r="AO552" s="11">
        <v>83.652000000000001</v>
      </c>
      <c r="AP552" s="19">
        <v>0.69407001000000002</v>
      </c>
    </row>
    <row r="553" spans="2:42">
      <c r="B553" t="s">
        <v>173</v>
      </c>
      <c r="C553" t="s">
        <v>174</v>
      </c>
      <c r="D553" t="s">
        <v>175</v>
      </c>
      <c r="E553" t="s">
        <v>35</v>
      </c>
      <c r="F553" t="s">
        <v>36</v>
      </c>
      <c r="G553" t="s">
        <v>37</v>
      </c>
      <c r="H553" t="s">
        <v>38</v>
      </c>
      <c r="I553" t="s">
        <v>39</v>
      </c>
      <c r="J553" t="s">
        <v>40</v>
      </c>
      <c r="K553">
        <v>2019</v>
      </c>
      <c r="L553">
        <v>6.8759737734086196E-2</v>
      </c>
      <c r="M553" s="17">
        <v>26.824978300000001</v>
      </c>
      <c r="N553" s="7">
        <f t="shared" si="72"/>
        <v>7.9803052974422341E-3</v>
      </c>
      <c r="O553" s="8">
        <v>5.2192134970000001</v>
      </c>
      <c r="P553" s="8">
        <f t="shared" si="73"/>
        <v>1.5526915493754979E-3</v>
      </c>
      <c r="Q553" s="8">
        <v>1.7714413360000001</v>
      </c>
      <c r="R553" s="8">
        <f t="shared" si="74"/>
        <v>5.2699549351691184E-4</v>
      </c>
      <c r="S553" s="8">
        <v>3.9184149979999998</v>
      </c>
      <c r="T553" s="8">
        <f t="shared" si="75"/>
        <v>1.1657100936449407E-3</v>
      </c>
      <c r="U553" s="8">
        <v>6.6546238999999993E-2</v>
      </c>
      <c r="V553" s="8">
        <f t="shared" si="76"/>
        <v>1.9797194155290593E-5</v>
      </c>
      <c r="W553" s="8">
        <v>1.0075800000000001E-3</v>
      </c>
      <c r="X553" s="8">
        <f t="shared" si="77"/>
        <v>5.8895724583664607E-9</v>
      </c>
      <c r="Y553" s="8"/>
      <c r="Z553" s="8">
        <f t="shared" si="78"/>
        <v>0</v>
      </c>
      <c r="AA553" s="8">
        <v>1.248084E-2</v>
      </c>
      <c r="AB553" s="8">
        <f t="shared" si="79"/>
        <v>3.7129913938655053E-6</v>
      </c>
      <c r="AC553" s="8">
        <v>0.84084585599999995</v>
      </c>
      <c r="AD553" s="18">
        <f t="shared" si="80"/>
        <v>2.5014770054703639E-4</v>
      </c>
      <c r="AE553" s="9">
        <v>27.6</v>
      </c>
      <c r="AF553" s="10">
        <v>25.2</v>
      </c>
      <c r="AG553" s="10">
        <v>43.4</v>
      </c>
      <c r="AH553" s="10">
        <v>29</v>
      </c>
      <c r="AI553" s="10">
        <v>34.799999999999997</v>
      </c>
      <c r="AJ553" s="10">
        <v>35.700000000000003</v>
      </c>
      <c r="AK553" s="11">
        <v>3361.3975030000001</v>
      </c>
      <c r="AL553" s="11">
        <v>32.067958900000001</v>
      </c>
      <c r="AM553" s="11">
        <v>695.47974360000001</v>
      </c>
      <c r="AN553" s="11">
        <v>86.1</v>
      </c>
      <c r="AO553" s="11">
        <v>44.072000000000003</v>
      </c>
      <c r="AP553" s="19">
        <v>2.35091904</v>
      </c>
    </row>
    <row r="554" spans="2:42">
      <c r="B554" t="s">
        <v>32</v>
      </c>
      <c r="C554" t="s">
        <v>33</v>
      </c>
      <c r="D554" t="s">
        <v>34</v>
      </c>
      <c r="E554" t="s">
        <v>35</v>
      </c>
      <c r="F554" t="s">
        <v>36</v>
      </c>
      <c r="G554" t="s">
        <v>37</v>
      </c>
      <c r="H554" t="s">
        <v>38</v>
      </c>
      <c r="I554" t="s">
        <v>39</v>
      </c>
      <c r="J554" t="s">
        <v>40</v>
      </c>
      <c r="K554">
        <v>2020</v>
      </c>
      <c r="L554">
        <v>0.89392281995068101</v>
      </c>
      <c r="M554" s="7">
        <v>584.57147380000004</v>
      </c>
      <c r="N554" s="7">
        <f t="shared" si="72"/>
        <v>1.0828581125443347E-2</v>
      </c>
      <c r="O554" s="8">
        <v>69.036379629999999</v>
      </c>
      <c r="P554" s="8">
        <f t="shared" si="73"/>
        <v>1.2788274333176324E-3</v>
      </c>
      <c r="Q554" s="8">
        <v>0.44368006199999999</v>
      </c>
      <c r="R554" s="8">
        <f t="shared" si="74"/>
        <v>8.2187136397156401E-6</v>
      </c>
      <c r="S554" s="8">
        <v>56.977940070000002</v>
      </c>
      <c r="T554" s="8">
        <f t="shared" si="75"/>
        <v>1.0554573291062363E-3</v>
      </c>
      <c r="U554" s="8">
        <v>0.147639246</v>
      </c>
      <c r="V554" s="8">
        <f t="shared" si="76"/>
        <v>2.7348641257121282E-6</v>
      </c>
      <c r="W554" s="8">
        <v>0.112916378</v>
      </c>
      <c r="X554" s="8">
        <f t="shared" si="77"/>
        <v>5.0660525495417141E-11</v>
      </c>
      <c r="Y554" s="8">
        <v>2.351406E-2</v>
      </c>
      <c r="Z554" s="8">
        <f t="shared" si="78"/>
        <v>4.3557360855014476E-7</v>
      </c>
      <c r="AA554" s="8">
        <v>0.18966208400000001</v>
      </c>
      <c r="AB554" s="8">
        <f t="shared" si="79"/>
        <v>3.5132936776133375E-6</v>
      </c>
      <c r="AC554" s="8">
        <v>11.792165649999999</v>
      </c>
      <c r="AD554" s="18">
        <f t="shared" si="80"/>
        <v>2.1843765580216955E-4</v>
      </c>
      <c r="AE554" s="9">
        <v>93.8</v>
      </c>
      <c r="AF554" s="10">
        <v>92.9</v>
      </c>
      <c r="AG554" s="10">
        <v>74.5</v>
      </c>
      <c r="AH554" s="10">
        <v>98.1</v>
      </c>
      <c r="AI554" s="10">
        <v>91.9</v>
      </c>
      <c r="AJ554" s="10">
        <v>93.2</v>
      </c>
      <c r="AK554" s="11">
        <v>53984.1247</v>
      </c>
      <c r="AL554" s="11">
        <v>46.252479800000003</v>
      </c>
      <c r="AM554" s="11">
        <v>9903.0193789999994</v>
      </c>
      <c r="AN554" s="11">
        <v>11.2</v>
      </c>
      <c r="AO554" s="11">
        <v>86.241</v>
      </c>
      <c r="AP554" s="19">
        <v>1.3532560600000001</v>
      </c>
    </row>
    <row r="555" spans="2:42">
      <c r="B555" t="s">
        <v>41</v>
      </c>
      <c r="C555" t="s">
        <v>42</v>
      </c>
      <c r="D555" t="s">
        <v>43</v>
      </c>
      <c r="E555" t="s">
        <v>35</v>
      </c>
      <c r="F555" t="s">
        <v>36</v>
      </c>
      <c r="G555" t="s">
        <v>37</v>
      </c>
      <c r="H555" t="s">
        <v>38</v>
      </c>
      <c r="I555" t="s">
        <v>39</v>
      </c>
      <c r="J555" t="s">
        <v>40</v>
      </c>
      <c r="K555">
        <v>2020</v>
      </c>
      <c r="L555">
        <v>0.41585666583887099</v>
      </c>
      <c r="M555" s="7">
        <v>77.273354190000006</v>
      </c>
      <c r="N555" s="7">
        <f t="shared" si="72"/>
        <v>1.3203921464578594E-3</v>
      </c>
      <c r="O555" s="8">
        <v>5.2680854620000002</v>
      </c>
      <c r="P555" s="8">
        <f t="shared" si="73"/>
        <v>9.0017299544036048E-5</v>
      </c>
      <c r="Q555" s="8">
        <v>0.69487468600000002</v>
      </c>
      <c r="R555" s="8">
        <f t="shared" si="74"/>
        <v>1.1873524681105486E-5</v>
      </c>
      <c r="S555" s="8">
        <v>0.75151999800000002</v>
      </c>
      <c r="T555" s="8">
        <f t="shared" si="75"/>
        <v>1.2841439506111675E-5</v>
      </c>
      <c r="U555" s="8">
        <v>5.8361586999999999E-2</v>
      </c>
      <c r="V555" s="8">
        <f t="shared" si="76"/>
        <v>9.9724131218817355E-7</v>
      </c>
      <c r="W555" s="8">
        <v>8.7539060000000002E-2</v>
      </c>
      <c r="X555" s="8">
        <f t="shared" si="77"/>
        <v>1.704015065140004E-11</v>
      </c>
      <c r="Y555" s="8">
        <v>1.6627453E-2</v>
      </c>
      <c r="Z555" s="8">
        <f t="shared" si="78"/>
        <v>2.8411809720094111E-7</v>
      </c>
      <c r="AA555" s="8">
        <v>2.2409004999999999E-2</v>
      </c>
      <c r="AB555" s="8">
        <f t="shared" si="79"/>
        <v>3.8290914794745623E-7</v>
      </c>
      <c r="AC555" s="8">
        <v>2.2137365949999999</v>
      </c>
      <c r="AD555" s="18">
        <f t="shared" si="80"/>
        <v>3.7826757295629729E-5</v>
      </c>
      <c r="AE555" s="9">
        <v>91</v>
      </c>
      <c r="AF555" s="10">
        <v>93.8</v>
      </c>
      <c r="AG555" s="10">
        <v>76.900000000000006</v>
      </c>
      <c r="AH555" s="10">
        <v>91</v>
      </c>
      <c r="AI555" s="10">
        <v>97.1</v>
      </c>
      <c r="AJ555" s="10">
        <v>95.7</v>
      </c>
      <c r="AK555" s="11">
        <v>58523.033779999998</v>
      </c>
      <c r="AL555" s="11">
        <v>31.5398134</v>
      </c>
      <c r="AM555" s="11">
        <v>8025.4672490000003</v>
      </c>
      <c r="AN555" s="11">
        <v>35.799999999999997</v>
      </c>
      <c r="AO555" s="11">
        <v>58.747999999999998</v>
      </c>
      <c r="AP555" s="19">
        <v>-2.7633207</v>
      </c>
    </row>
    <row r="556" spans="2:42">
      <c r="B556" t="s">
        <v>44</v>
      </c>
      <c r="C556" t="s">
        <v>45</v>
      </c>
      <c r="D556" t="s">
        <v>46</v>
      </c>
      <c r="E556" t="s">
        <v>35</v>
      </c>
      <c r="F556" t="s">
        <v>36</v>
      </c>
      <c r="G556" t="s">
        <v>37</v>
      </c>
      <c r="H556" t="s">
        <v>38</v>
      </c>
      <c r="I556" t="s">
        <v>39</v>
      </c>
      <c r="J556" t="s">
        <v>40</v>
      </c>
      <c r="K556">
        <v>2020</v>
      </c>
      <c r="L556">
        <v>0.330264914623006</v>
      </c>
      <c r="M556" s="7">
        <v>54.724451039999998</v>
      </c>
      <c r="N556" s="7">
        <f t="shared" si="72"/>
        <v>3.6089423433300354E-3</v>
      </c>
      <c r="O556" s="8">
        <v>7.6061886889999997</v>
      </c>
      <c r="P556" s="8">
        <f t="shared" si="73"/>
        <v>5.0160935211621756E-4</v>
      </c>
      <c r="Q556" s="8">
        <v>3.1313457000000003E-2</v>
      </c>
      <c r="R556" s="8">
        <f t="shared" si="74"/>
        <v>2.0650451258203123E-6</v>
      </c>
      <c r="S556" s="8">
        <v>4.768211934</v>
      </c>
      <c r="T556" s="8">
        <f t="shared" si="75"/>
        <v>3.1445179665678377E-4</v>
      </c>
      <c r="U556" s="8">
        <v>1.791071E-3</v>
      </c>
      <c r="V556" s="8">
        <f t="shared" si="76"/>
        <v>1.1811670741266644E-7</v>
      </c>
      <c r="W556" s="8">
        <v>1.7343666000000001E-2</v>
      </c>
      <c r="X556" s="8">
        <f t="shared" si="77"/>
        <v>7.7895050335857429E-12</v>
      </c>
      <c r="Y556" s="8"/>
      <c r="Z556" s="8">
        <f t="shared" si="78"/>
        <v>0</v>
      </c>
      <c r="AA556" s="8">
        <v>3.1206443E-2</v>
      </c>
      <c r="AB556" s="8">
        <f t="shared" si="79"/>
        <v>2.0579878169101351E-6</v>
      </c>
      <c r="AC556" s="8">
        <v>2.8815259640000002</v>
      </c>
      <c r="AD556" s="18">
        <f t="shared" si="80"/>
        <v>1.900295181998869E-4</v>
      </c>
      <c r="AE556" s="9">
        <v>15.2</v>
      </c>
      <c r="AF556" s="10">
        <v>47.6</v>
      </c>
      <c r="AG556" s="10">
        <v>17.5</v>
      </c>
      <c r="AH556" s="10">
        <v>39</v>
      </c>
      <c r="AI556" s="10">
        <v>24.3</v>
      </c>
      <c r="AJ556" s="10">
        <v>5.8</v>
      </c>
      <c r="AK556" s="11">
        <v>15163.57033</v>
      </c>
      <c r="AL556" s="11">
        <v>57.838249900000001</v>
      </c>
      <c r="AM556" s="11">
        <v>2257.180906</v>
      </c>
      <c r="AN556" s="11">
        <v>1.3</v>
      </c>
      <c r="AO556" s="11">
        <v>56.396999999999998</v>
      </c>
      <c r="AP556" s="19">
        <v>1.18790387</v>
      </c>
    </row>
    <row r="557" spans="2:42">
      <c r="B557" t="s">
        <v>47</v>
      </c>
      <c r="C557" t="s">
        <v>48</v>
      </c>
      <c r="D557" t="s">
        <v>49</v>
      </c>
      <c r="E557" t="s">
        <v>35</v>
      </c>
      <c r="F557" t="s">
        <v>36</v>
      </c>
      <c r="G557" t="s">
        <v>37</v>
      </c>
      <c r="H557" t="s">
        <v>38</v>
      </c>
      <c r="I557" t="s">
        <v>39</v>
      </c>
      <c r="J557" t="s">
        <v>40</v>
      </c>
      <c r="K557">
        <v>2020</v>
      </c>
      <c r="L557">
        <v>1.45568955098395</v>
      </c>
      <c r="M557" s="7">
        <v>2.6037062E-2</v>
      </c>
      <c r="N557" s="7">
        <f t="shared" si="72"/>
        <v>4.6395255764053588E-7</v>
      </c>
      <c r="O557" s="8">
        <v>6.9921480010000003</v>
      </c>
      <c r="P557" s="8">
        <f t="shared" si="73"/>
        <v>1.2459258838286403E-4</v>
      </c>
      <c r="Q557" s="8">
        <v>0.26887497599999999</v>
      </c>
      <c r="R557" s="8">
        <f t="shared" si="74"/>
        <v>4.791064091668165E-6</v>
      </c>
      <c r="S557" s="8">
        <v>2.6057100790000001</v>
      </c>
      <c r="T557" s="8">
        <f t="shared" si="75"/>
        <v>4.643096274156327E-5</v>
      </c>
      <c r="U557" s="8">
        <v>4.1860963000000001E-2</v>
      </c>
      <c r="V557" s="8">
        <f t="shared" si="76"/>
        <v>7.4591752514726279E-7</v>
      </c>
      <c r="W557" s="8">
        <v>7.4149984000000002E-2</v>
      </c>
      <c r="X557" s="8">
        <f t="shared" si="77"/>
        <v>1.3291451377308674E-11</v>
      </c>
      <c r="Y557" s="8">
        <v>5.5312843E-2</v>
      </c>
      <c r="Z557" s="8">
        <f t="shared" si="78"/>
        <v>9.8561561900568565E-7</v>
      </c>
      <c r="AA557" s="8">
        <v>3.0412407999999998E-2</v>
      </c>
      <c r="AB557" s="8">
        <f t="shared" si="79"/>
        <v>5.4191653711188671E-7</v>
      </c>
      <c r="AC557" s="8">
        <v>2.426898563</v>
      </c>
      <c r="AD557" s="18">
        <f t="shared" si="80"/>
        <v>4.3244733043919905E-5</v>
      </c>
      <c r="AE557" s="9">
        <v>90</v>
      </c>
      <c r="AF557" s="10">
        <v>84.3</v>
      </c>
      <c r="AG557" s="10">
        <v>64.2</v>
      </c>
      <c r="AH557" s="10">
        <v>89</v>
      </c>
      <c r="AI557" s="10">
        <v>87.6</v>
      </c>
      <c r="AJ557" s="10">
        <v>90.8</v>
      </c>
      <c r="AK557" s="11">
        <v>56120.095840000002</v>
      </c>
      <c r="AL557" s="11">
        <v>44.7500918</v>
      </c>
      <c r="AM557" s="11">
        <v>7420.741712</v>
      </c>
      <c r="AN557" s="11">
        <v>12.3</v>
      </c>
      <c r="AO557" s="11">
        <v>98.078999999999994</v>
      </c>
      <c r="AP557" s="19">
        <v>-5.7423523000000003</v>
      </c>
    </row>
    <row r="558" spans="2:42">
      <c r="B558" t="s">
        <v>50</v>
      </c>
      <c r="C558" t="s">
        <v>51</v>
      </c>
      <c r="D558" t="s">
        <v>52</v>
      </c>
      <c r="E558" t="s">
        <v>35</v>
      </c>
      <c r="F558" t="s">
        <v>36</v>
      </c>
      <c r="G558" t="s">
        <v>37</v>
      </c>
      <c r="H558" t="s">
        <v>38</v>
      </c>
      <c r="I558" t="s">
        <v>39</v>
      </c>
      <c r="J558" t="s">
        <v>40</v>
      </c>
      <c r="K558">
        <v>2020</v>
      </c>
      <c r="L558">
        <v>0.69728338518516297</v>
      </c>
      <c r="M558" s="7">
        <v>241.13197070000001</v>
      </c>
      <c r="N558" s="7">
        <f t="shared" si="72"/>
        <v>8.8079916459528444E-3</v>
      </c>
      <c r="O558" s="8">
        <v>2.1488511250000002</v>
      </c>
      <c r="P558" s="8">
        <f t="shared" si="73"/>
        <v>7.8492547887580363E-5</v>
      </c>
      <c r="Q558" s="8">
        <v>0.36933537</v>
      </c>
      <c r="R558" s="8">
        <f t="shared" si="74"/>
        <v>1.3490964487501295E-5</v>
      </c>
      <c r="S558" s="8">
        <v>0.87243748399999999</v>
      </c>
      <c r="T558" s="8">
        <f t="shared" si="75"/>
        <v>3.1868117895691874E-5</v>
      </c>
      <c r="U558" s="8">
        <v>1.5842375999999998E-2</v>
      </c>
      <c r="V558" s="8">
        <f t="shared" si="76"/>
        <v>5.7868525295490327E-7</v>
      </c>
      <c r="W558" s="8">
        <v>2.1703796000000001E-2</v>
      </c>
      <c r="X558" s="8">
        <f t="shared" si="77"/>
        <v>2.1138030178521229E-11</v>
      </c>
      <c r="Y558" s="8">
        <v>6.698692E-3</v>
      </c>
      <c r="Z558" s="8">
        <f t="shared" si="78"/>
        <v>2.4468768286316317E-7</v>
      </c>
      <c r="AA558" s="8">
        <v>4.6222660999999998E-2</v>
      </c>
      <c r="AB558" s="8">
        <f t="shared" si="79"/>
        <v>1.6884066047311178E-6</v>
      </c>
      <c r="AC558" s="8">
        <v>5.735191242</v>
      </c>
      <c r="AD558" s="18">
        <f t="shared" si="80"/>
        <v>2.0949323476614342E-4</v>
      </c>
      <c r="AE558" s="9">
        <v>43.8</v>
      </c>
      <c r="AF558" s="10">
        <v>43.8</v>
      </c>
      <c r="AG558" s="10">
        <v>58.5</v>
      </c>
      <c r="AH558" s="10">
        <v>65.7</v>
      </c>
      <c r="AI558" s="10">
        <v>49</v>
      </c>
      <c r="AJ558" s="10">
        <v>56</v>
      </c>
      <c r="AK558" s="11">
        <v>27376.49857</v>
      </c>
      <c r="AL558" s="11">
        <v>46.49042</v>
      </c>
      <c r="AM558" s="11">
        <v>5304.9324839999999</v>
      </c>
      <c r="AN558" s="11">
        <v>21.1</v>
      </c>
      <c r="AO558" s="11">
        <v>75.686000000000007</v>
      </c>
      <c r="AP558" s="19">
        <v>4.6926001199999998</v>
      </c>
    </row>
    <row r="559" spans="2:42">
      <c r="B559" t="s">
        <v>53</v>
      </c>
      <c r="C559" t="s">
        <v>54</v>
      </c>
      <c r="D559" t="s">
        <v>55</v>
      </c>
      <c r="E559" t="s">
        <v>35</v>
      </c>
      <c r="F559" t="s">
        <v>36</v>
      </c>
      <c r="G559" t="s">
        <v>37</v>
      </c>
      <c r="H559" t="s">
        <v>38</v>
      </c>
      <c r="I559" t="s">
        <v>39</v>
      </c>
      <c r="J559" t="s">
        <v>40</v>
      </c>
      <c r="K559">
        <v>2020</v>
      </c>
      <c r="L559">
        <v>0.753365561519039</v>
      </c>
      <c r="M559" s="7">
        <v>10.504732130000001</v>
      </c>
      <c r="N559" s="7">
        <f t="shared" si="72"/>
        <v>2.1618819567941614E-4</v>
      </c>
      <c r="O559" s="8">
        <v>31.19261521</v>
      </c>
      <c r="P559" s="8">
        <f t="shared" si="73"/>
        <v>6.419464216049659E-4</v>
      </c>
      <c r="Q559" s="8">
        <v>0.88884076999999995</v>
      </c>
      <c r="R559" s="8">
        <f t="shared" si="74"/>
        <v>1.8292411451771393E-5</v>
      </c>
      <c r="S559" s="8">
        <v>61.377638079999997</v>
      </c>
      <c r="T559" s="8">
        <f t="shared" si="75"/>
        <v>1.2631565153084414E-3</v>
      </c>
      <c r="U559" s="8">
        <v>0.25197449399999999</v>
      </c>
      <c r="V559" s="8">
        <f t="shared" si="76"/>
        <v>5.1856544784730141E-6</v>
      </c>
      <c r="W559" s="8">
        <v>0.15130581300000001</v>
      </c>
      <c r="X559" s="8">
        <f t="shared" si="77"/>
        <v>1.0672116825486006E-10</v>
      </c>
      <c r="Y559" s="8">
        <v>0.162933469</v>
      </c>
      <c r="Z559" s="8">
        <f t="shared" si="78"/>
        <v>3.3531833313771589E-6</v>
      </c>
      <c r="AA559" s="8">
        <v>0.52528557600000003</v>
      </c>
      <c r="AB559" s="8">
        <f t="shared" si="79"/>
        <v>1.0810417580049498E-5</v>
      </c>
      <c r="AC559" s="8">
        <v>20.435437740000001</v>
      </c>
      <c r="AD559" s="18">
        <f t="shared" si="80"/>
        <v>4.2056288140016052E-4</v>
      </c>
      <c r="AE559" s="9">
        <v>91.9</v>
      </c>
      <c r="AF559" s="10">
        <v>93.3</v>
      </c>
      <c r="AG559" s="10">
        <v>84.4</v>
      </c>
      <c r="AH559" s="10">
        <v>94.3</v>
      </c>
      <c r="AI559" s="10">
        <v>93.3</v>
      </c>
      <c r="AJ559" s="10">
        <v>96.1</v>
      </c>
      <c r="AK559" s="11">
        <v>48590.683210000003</v>
      </c>
      <c r="AL559" s="11">
        <v>6.3707352200000003</v>
      </c>
      <c r="AM559" s="11">
        <v>14750.331050000001</v>
      </c>
      <c r="AN559" s="11">
        <v>23.9</v>
      </c>
      <c r="AO559" s="11">
        <v>81.561999999999998</v>
      </c>
      <c r="AP559" s="19">
        <v>1.75897086</v>
      </c>
    </row>
    <row r="560" spans="2:42">
      <c r="B560" t="s">
        <v>56</v>
      </c>
      <c r="C560" t="s">
        <v>57</v>
      </c>
      <c r="D560" t="s">
        <v>58</v>
      </c>
      <c r="E560" t="s">
        <v>35</v>
      </c>
      <c r="F560" t="s">
        <v>36</v>
      </c>
      <c r="G560" t="s">
        <v>37</v>
      </c>
      <c r="H560" t="s">
        <v>38</v>
      </c>
      <c r="I560" t="s">
        <v>39</v>
      </c>
      <c r="J560" t="s">
        <v>40</v>
      </c>
      <c r="K560">
        <v>2020</v>
      </c>
      <c r="L560">
        <v>0.10920011872652099</v>
      </c>
      <c r="M560" s="7">
        <v>711.93132360000004</v>
      </c>
      <c r="N560" s="7">
        <f t="shared" si="72"/>
        <v>2.8083119272018835E-2</v>
      </c>
      <c r="O560" s="8">
        <v>7.2458579289999996</v>
      </c>
      <c r="P560" s="8">
        <f t="shared" si="73"/>
        <v>2.858229237888394E-4</v>
      </c>
      <c r="Q560" s="8">
        <v>0.68074797200000003</v>
      </c>
      <c r="R560" s="8">
        <f t="shared" si="74"/>
        <v>2.68530486833898E-5</v>
      </c>
      <c r="S560" s="8">
        <v>1.4238369660000001</v>
      </c>
      <c r="T560" s="8">
        <f t="shared" si="75"/>
        <v>5.6165225513456293E-5</v>
      </c>
      <c r="U560" s="8">
        <v>8.7278854000000003E-2</v>
      </c>
      <c r="V560" s="8">
        <f t="shared" si="76"/>
        <v>3.44283554544687E-6</v>
      </c>
      <c r="W560" s="8">
        <v>0.16620939000000001</v>
      </c>
      <c r="X560" s="8">
        <f t="shared" si="77"/>
        <v>1.3580742699706445E-10</v>
      </c>
      <c r="Y560" s="8">
        <v>2.1805556E-2</v>
      </c>
      <c r="Z560" s="8">
        <f t="shared" si="78"/>
        <v>8.6015042412257465E-7</v>
      </c>
      <c r="AA560" s="8">
        <v>5.2692680999999998E-2</v>
      </c>
      <c r="AB560" s="8">
        <f t="shared" si="79"/>
        <v>2.0785359433304764E-6</v>
      </c>
      <c r="AC560" s="8">
        <v>11.469394060000001</v>
      </c>
      <c r="AD560" s="18">
        <f t="shared" si="80"/>
        <v>4.5242616905241667E-4</v>
      </c>
      <c r="AE560" s="9">
        <v>82.9</v>
      </c>
      <c r="AF560" s="10">
        <v>74.3</v>
      </c>
      <c r="AG560" s="10">
        <v>48.6</v>
      </c>
      <c r="AH560" s="10">
        <v>80.5</v>
      </c>
      <c r="AI560" s="10">
        <v>80</v>
      </c>
      <c r="AJ560" s="10">
        <v>79.7</v>
      </c>
      <c r="AK560" s="11">
        <v>25350.863509999999</v>
      </c>
      <c r="AL560" s="11">
        <v>14.8885916</v>
      </c>
      <c r="AM560" s="11">
        <v>4166.7217330000003</v>
      </c>
      <c r="AN560" s="11">
        <v>26.7</v>
      </c>
      <c r="AO560" s="11">
        <v>87.727000000000004</v>
      </c>
      <c r="AP560" s="19">
        <v>4.5061014000000004</v>
      </c>
    </row>
    <row r="561" spans="2:42">
      <c r="B561" t="s">
        <v>59</v>
      </c>
      <c r="C561" t="s">
        <v>60</v>
      </c>
      <c r="D561" t="s">
        <v>61</v>
      </c>
      <c r="E561" t="s">
        <v>35</v>
      </c>
      <c r="F561" t="s">
        <v>36</v>
      </c>
      <c r="G561" t="s">
        <v>37</v>
      </c>
      <c r="H561" t="s">
        <v>38</v>
      </c>
      <c r="I561" t="s">
        <v>39</v>
      </c>
      <c r="J561" t="s">
        <v>40</v>
      </c>
      <c r="K561">
        <v>2020</v>
      </c>
      <c r="L561">
        <v>0.17324041940778601</v>
      </c>
      <c r="M561" s="7">
        <v>0.335810942</v>
      </c>
      <c r="N561" s="7">
        <f t="shared" si="72"/>
        <v>1.0628397348456351E-5</v>
      </c>
      <c r="O561" s="8">
        <v>1.6198148219999999</v>
      </c>
      <c r="P561" s="8">
        <f t="shared" si="73"/>
        <v>5.1267047632816849E-5</v>
      </c>
      <c r="Q561" s="8">
        <v>0.369797245</v>
      </c>
      <c r="R561" s="8">
        <f t="shared" si="74"/>
        <v>1.1704061918936709E-5</v>
      </c>
      <c r="S561" s="8">
        <v>0.300642666</v>
      </c>
      <c r="T561" s="8">
        <f t="shared" si="75"/>
        <v>9.5153233992811599E-6</v>
      </c>
      <c r="U561" s="8">
        <v>5.1395039999999996E-3</v>
      </c>
      <c r="V561" s="8">
        <f t="shared" si="76"/>
        <v>1.6266501133242051E-7</v>
      </c>
      <c r="W561" s="8">
        <v>1.1833768999999999E-2</v>
      </c>
      <c r="X561" s="8">
        <f t="shared" si="77"/>
        <v>5.1483384217186126E-12</v>
      </c>
      <c r="Y561" s="8">
        <v>1.6174290000000001E-3</v>
      </c>
      <c r="Z561" s="8">
        <f t="shared" si="78"/>
        <v>5.1191536501262693E-8</v>
      </c>
      <c r="AA561" s="8">
        <v>1.03591E-2</v>
      </c>
      <c r="AB561" s="8">
        <f t="shared" si="79"/>
        <v>3.2786492994142573E-7</v>
      </c>
      <c r="AC561" s="8">
        <v>1.360930124</v>
      </c>
      <c r="AD561" s="18">
        <f t="shared" si="80"/>
        <v>4.3073361562339956E-5</v>
      </c>
      <c r="AE561" s="9">
        <v>59.5</v>
      </c>
      <c r="AF561" s="10">
        <v>68.099999999999994</v>
      </c>
      <c r="AG561" s="10">
        <v>66.5</v>
      </c>
      <c r="AH561" s="10">
        <v>63.3</v>
      </c>
      <c r="AI561" s="10">
        <v>59.5</v>
      </c>
      <c r="AJ561" s="10">
        <v>64.7</v>
      </c>
      <c r="AK561" s="11">
        <v>31595.633000000002</v>
      </c>
      <c r="AL561" s="11">
        <v>26.8942102</v>
      </c>
      <c r="AM561" s="11">
        <v>4164.062903</v>
      </c>
      <c r="AN561" s="11">
        <v>32.4</v>
      </c>
      <c r="AO561" s="11">
        <v>57.552999999999997</v>
      </c>
      <c r="AP561" s="19">
        <v>2.5391043999999998</v>
      </c>
    </row>
    <row r="562" spans="2:42">
      <c r="B562" t="s">
        <v>62</v>
      </c>
      <c r="C562" t="s">
        <v>63</v>
      </c>
      <c r="D562" t="s">
        <v>64</v>
      </c>
      <c r="E562" t="s">
        <v>35</v>
      </c>
      <c r="F562" t="s">
        <v>36</v>
      </c>
      <c r="G562" t="s">
        <v>37</v>
      </c>
      <c r="H562" t="s">
        <v>38</v>
      </c>
      <c r="I562" t="s">
        <v>39</v>
      </c>
      <c r="J562" t="s">
        <v>40</v>
      </c>
      <c r="K562">
        <v>2020</v>
      </c>
      <c r="L562">
        <v>0.34415923840891099</v>
      </c>
      <c r="M562" s="7">
        <v>9.3304635349999998</v>
      </c>
      <c r="N562" s="7">
        <f t="shared" si="72"/>
        <v>2.1521793916018186E-4</v>
      </c>
      <c r="O562" s="8">
        <v>0.45918082300000002</v>
      </c>
      <c r="P562" s="8">
        <f t="shared" si="73"/>
        <v>1.0591537071789889E-5</v>
      </c>
      <c r="Q562" s="8">
        <v>1.0076939E-2</v>
      </c>
      <c r="R562" s="8">
        <f t="shared" si="74"/>
        <v>2.3243625962285741E-7</v>
      </c>
      <c r="S562" s="8">
        <v>3.2042160000000002E-3</v>
      </c>
      <c r="T562" s="8">
        <f t="shared" si="75"/>
        <v>7.390895013492824E-8</v>
      </c>
      <c r="U562" s="8">
        <v>3.1662840000000001E-3</v>
      </c>
      <c r="V562" s="8">
        <f t="shared" si="76"/>
        <v>7.3034004657932278E-8</v>
      </c>
      <c r="W562" s="8">
        <v>2.3026549999999998E-3</v>
      </c>
      <c r="X562" s="8">
        <f t="shared" si="77"/>
        <v>1.6846138364009274E-12</v>
      </c>
      <c r="Y562" s="8"/>
      <c r="Z562" s="8">
        <f t="shared" si="78"/>
        <v>0</v>
      </c>
      <c r="AA562" s="8">
        <v>3.3929170000000001E-3</v>
      </c>
      <c r="AB562" s="8">
        <f t="shared" si="79"/>
        <v>7.8261557075100533E-8</v>
      </c>
      <c r="AC562" s="8">
        <v>1.3692505580000001</v>
      </c>
      <c r="AD562" s="18">
        <f t="shared" si="80"/>
        <v>3.1583348692299358E-5</v>
      </c>
      <c r="AE562" s="9">
        <v>63.3</v>
      </c>
      <c r="AF562" s="10">
        <v>76.7</v>
      </c>
      <c r="AG562" s="10">
        <v>56.6</v>
      </c>
      <c r="AH562" s="10">
        <v>81</v>
      </c>
      <c r="AI562" s="10">
        <v>68.099999999999994</v>
      </c>
      <c r="AJ562" s="10">
        <v>75.400000000000006</v>
      </c>
      <c r="AK562" s="11">
        <v>43353.558590000001</v>
      </c>
      <c r="AL562" s="11">
        <v>13.814718600000001</v>
      </c>
      <c r="AM562" s="11">
        <v>3540.0350319999998</v>
      </c>
      <c r="AN562" s="11">
        <v>15</v>
      </c>
      <c r="AO562" s="11">
        <v>66.820999999999998</v>
      </c>
      <c r="AP562" s="19">
        <v>-296.01319999999998</v>
      </c>
    </row>
    <row r="563" spans="2:42">
      <c r="B563" t="s">
        <v>65</v>
      </c>
      <c r="C563" t="s">
        <v>66</v>
      </c>
      <c r="D563" t="s">
        <v>67</v>
      </c>
      <c r="E563" t="s">
        <v>35</v>
      </c>
      <c r="F563" t="s">
        <v>36</v>
      </c>
      <c r="G563" t="s">
        <v>37</v>
      </c>
      <c r="H563" t="s">
        <v>38</v>
      </c>
      <c r="I563" t="s">
        <v>39</v>
      </c>
      <c r="J563" t="s">
        <v>40</v>
      </c>
      <c r="K563">
        <v>2020</v>
      </c>
      <c r="L563">
        <v>0.90134558131526499</v>
      </c>
      <c r="M563" s="7">
        <v>9.3304635349999998</v>
      </c>
      <c r="N563" s="7">
        <f t="shared" si="72"/>
        <v>2.0808588937985418E-4</v>
      </c>
      <c r="O563" s="8">
        <v>4.9885662579999996</v>
      </c>
      <c r="P563" s="8">
        <f t="shared" si="73"/>
        <v>1.1125387743410339E-4</v>
      </c>
      <c r="Q563" s="8">
        <v>0.98773064799999999</v>
      </c>
      <c r="R563" s="8">
        <f t="shared" si="74"/>
        <v>2.202814571707339E-5</v>
      </c>
      <c r="S563" s="8">
        <v>2.3994939830000002</v>
      </c>
      <c r="T563" s="8">
        <f t="shared" si="75"/>
        <v>5.3512972602187419E-5</v>
      </c>
      <c r="U563" s="8">
        <v>3.7712863999999999E-2</v>
      </c>
      <c r="V563" s="8">
        <f t="shared" si="76"/>
        <v>8.4106377106177555E-7</v>
      </c>
      <c r="W563" s="8">
        <v>5.0882829999999997E-2</v>
      </c>
      <c r="X563" s="8">
        <f t="shared" si="77"/>
        <v>1.8757214169484841E-11</v>
      </c>
      <c r="Y563" s="8">
        <v>1.3807953E-2</v>
      </c>
      <c r="Z563" s="8">
        <f t="shared" si="78"/>
        <v>3.0794184766300849E-7</v>
      </c>
      <c r="AA563" s="8">
        <v>3.4332232999999997E-2</v>
      </c>
      <c r="AB563" s="8">
        <f t="shared" si="79"/>
        <v>7.6566970241113309E-7</v>
      </c>
      <c r="AC563" s="8">
        <v>5.2250018410000001</v>
      </c>
      <c r="AD563" s="18">
        <f t="shared" si="80"/>
        <v>1.1652681037950817E-4</v>
      </c>
      <c r="AE563" s="9">
        <v>69</v>
      </c>
      <c r="AF563" s="10">
        <v>78.599999999999994</v>
      </c>
      <c r="AG563" s="10">
        <v>77.8</v>
      </c>
      <c r="AH563" s="10">
        <v>86.7</v>
      </c>
      <c r="AI563" s="10">
        <v>82.9</v>
      </c>
      <c r="AJ563" s="10">
        <v>78.7</v>
      </c>
      <c r="AK563" s="11">
        <v>44839.482210000002</v>
      </c>
      <c r="AL563" s="11">
        <v>45.646866600000003</v>
      </c>
      <c r="AM563" s="11">
        <v>6286.6790719999999</v>
      </c>
      <c r="AN563" s="11">
        <v>17</v>
      </c>
      <c r="AO563" s="11">
        <v>74.061000000000007</v>
      </c>
      <c r="AP563" s="19">
        <v>3.39114066</v>
      </c>
    </row>
    <row r="564" spans="2:42">
      <c r="B564" t="s">
        <v>68</v>
      </c>
      <c r="C564" t="s">
        <v>69</v>
      </c>
      <c r="D564" t="s">
        <v>70</v>
      </c>
      <c r="E564" t="s">
        <v>35</v>
      </c>
      <c r="F564" t="s">
        <v>36</v>
      </c>
      <c r="G564" t="s">
        <v>37</v>
      </c>
      <c r="H564" t="s">
        <v>38</v>
      </c>
      <c r="I564" t="s">
        <v>39</v>
      </c>
      <c r="J564" t="s">
        <v>40</v>
      </c>
      <c r="K564">
        <v>2020</v>
      </c>
      <c r="L564">
        <v>0.40375744431822103</v>
      </c>
      <c r="M564" s="7">
        <v>711.93132360000004</v>
      </c>
      <c r="N564" s="7">
        <f t="shared" si="72"/>
        <v>1.1357774646840261E-2</v>
      </c>
      <c r="O564" s="8">
        <v>6.9328809400000004</v>
      </c>
      <c r="P564" s="8">
        <f t="shared" si="73"/>
        <v>1.1060350452305071E-4</v>
      </c>
      <c r="Q564" s="8">
        <v>0.32076094700000002</v>
      </c>
      <c r="R564" s="8">
        <f t="shared" si="74"/>
        <v>5.117249980111807E-6</v>
      </c>
      <c r="S564" s="8">
        <v>0.43214981099999999</v>
      </c>
      <c r="T564" s="8">
        <f t="shared" si="75"/>
        <v>6.8942888229628246E-6</v>
      </c>
      <c r="U564" s="8">
        <v>1.0214475000000001E-2</v>
      </c>
      <c r="V564" s="8">
        <f t="shared" si="76"/>
        <v>1.6295631522313267E-7</v>
      </c>
      <c r="W564" s="8">
        <v>0.104486073</v>
      </c>
      <c r="X564" s="8">
        <f t="shared" si="77"/>
        <v>2.5997186023854364E-12</v>
      </c>
      <c r="Y564" s="14">
        <v>4.02327E-7</v>
      </c>
      <c r="Z564" s="8">
        <f t="shared" si="78"/>
        <v>6.4185115177018193E-12</v>
      </c>
      <c r="AA564" s="8">
        <v>1.5157072000000001E-2</v>
      </c>
      <c r="AB564" s="8">
        <f t="shared" si="79"/>
        <v>2.4180788564186783E-7</v>
      </c>
      <c r="AC564" s="8">
        <v>2.7306305919999998</v>
      </c>
      <c r="AD564" s="18">
        <f t="shared" si="80"/>
        <v>4.3563031825706298E-5</v>
      </c>
      <c r="AE564" s="9">
        <v>100</v>
      </c>
      <c r="AF564" s="10">
        <v>97.6</v>
      </c>
      <c r="AG564" s="10">
        <v>78.3</v>
      </c>
      <c r="AH564" s="10">
        <v>97.6</v>
      </c>
      <c r="AI564" s="10">
        <v>98.1</v>
      </c>
      <c r="AJ564" s="10">
        <v>97.6</v>
      </c>
      <c r="AK564" s="11">
        <v>62682.289949999998</v>
      </c>
      <c r="AL564" s="11">
        <v>65.499674999999996</v>
      </c>
      <c r="AM564" s="11">
        <v>5690.9107999999997</v>
      </c>
      <c r="AN564" s="11">
        <v>39.5</v>
      </c>
      <c r="AO564" s="11">
        <v>88.116</v>
      </c>
      <c r="AP564" s="19">
        <v>0.36387454000000002</v>
      </c>
    </row>
    <row r="565" spans="2:42">
      <c r="B565" t="s">
        <v>71</v>
      </c>
      <c r="C565" t="s">
        <v>72</v>
      </c>
      <c r="D565" t="s">
        <v>73</v>
      </c>
      <c r="E565" t="s">
        <v>35</v>
      </c>
      <c r="F565" t="s">
        <v>36</v>
      </c>
      <c r="G565" t="s">
        <v>37</v>
      </c>
      <c r="H565" t="s">
        <v>38</v>
      </c>
      <c r="I565" t="s">
        <v>39</v>
      </c>
      <c r="J565" t="s">
        <v>40</v>
      </c>
      <c r="K565">
        <v>2020</v>
      </c>
      <c r="L565">
        <v>0.16895319748864701</v>
      </c>
      <c r="M565" s="7">
        <v>306.76310719999998</v>
      </c>
      <c r="N565" s="7">
        <f t="shared" si="72"/>
        <v>3.2659774287528434E-2</v>
      </c>
      <c r="O565" s="8">
        <v>1.5918594340000001</v>
      </c>
      <c r="P565" s="8">
        <f t="shared" si="73"/>
        <v>1.6947856046462933E-4</v>
      </c>
      <c r="Q565" s="8">
        <v>5.0539458000000002E-2</v>
      </c>
      <c r="R565" s="8">
        <f t="shared" si="74"/>
        <v>5.3807229492491701E-6</v>
      </c>
      <c r="S565" s="8">
        <v>8.5662300000000004E-4</v>
      </c>
      <c r="T565" s="8">
        <f t="shared" si="75"/>
        <v>9.1201038106793149E-8</v>
      </c>
      <c r="U565" s="8">
        <v>1.2875339999999999E-3</v>
      </c>
      <c r="V565" s="8">
        <f t="shared" si="76"/>
        <v>1.3707831496211495E-7</v>
      </c>
      <c r="W565" s="8">
        <v>1.3328921000000001E-2</v>
      </c>
      <c r="X565" s="8">
        <f t="shared" si="77"/>
        <v>1.4594150082912597E-11</v>
      </c>
      <c r="Y565" s="8"/>
      <c r="Z565" s="8">
        <f t="shared" si="78"/>
        <v>0</v>
      </c>
      <c r="AA565" s="8">
        <v>1.5598455000000001E-2</v>
      </c>
      <c r="AB565" s="8">
        <f t="shared" si="79"/>
        <v>1.6607017192651821E-6</v>
      </c>
      <c r="AC565" s="8">
        <v>1.3769463630000001</v>
      </c>
      <c r="AD565" s="18">
        <f t="shared" si="80"/>
        <v>1.4659767216497016E-4</v>
      </c>
      <c r="AE565" s="9">
        <v>31</v>
      </c>
      <c r="AF565" s="10">
        <v>42.9</v>
      </c>
      <c r="AG565" s="10">
        <v>44.3</v>
      </c>
      <c r="AH565" s="10">
        <v>49</v>
      </c>
      <c r="AI565" s="10">
        <v>23.3</v>
      </c>
      <c r="AJ565" s="10">
        <v>50.7</v>
      </c>
      <c r="AK565" s="11">
        <v>9392.6891379999997</v>
      </c>
      <c r="AL565" s="11">
        <v>57.707529000000001</v>
      </c>
      <c r="AM565" s="11">
        <v>989.46648849999997</v>
      </c>
      <c r="AN565" s="11">
        <v>23.7</v>
      </c>
      <c r="AO565" s="11">
        <v>73.444000000000003</v>
      </c>
      <c r="AP565" s="19">
        <v>1.5510199899999999</v>
      </c>
    </row>
    <row r="566" spans="2:42">
      <c r="B566" t="s">
        <v>74</v>
      </c>
      <c r="C566" t="s">
        <v>75</v>
      </c>
      <c r="D566" t="s">
        <v>76</v>
      </c>
      <c r="E566" t="s">
        <v>35</v>
      </c>
      <c r="F566" t="s">
        <v>36</v>
      </c>
      <c r="G566" t="s">
        <v>37</v>
      </c>
      <c r="H566" t="s">
        <v>38</v>
      </c>
      <c r="I566" t="s">
        <v>39</v>
      </c>
      <c r="J566" t="s">
        <v>40</v>
      </c>
      <c r="K566">
        <v>2020</v>
      </c>
      <c r="L566">
        <v>0.67067225244657003</v>
      </c>
      <c r="M566" s="7">
        <v>6.2962827920000004</v>
      </c>
      <c r="N566" s="7">
        <f t="shared" si="72"/>
        <v>1.5480581338091993E-4</v>
      </c>
      <c r="O566" s="8">
        <v>0.88164256500000004</v>
      </c>
      <c r="P566" s="8">
        <f t="shared" si="73"/>
        <v>2.1676820894938221E-5</v>
      </c>
      <c r="Q566" s="8">
        <v>0.14783735200000001</v>
      </c>
      <c r="R566" s="8">
        <f t="shared" si="74"/>
        <v>3.6348560381563891E-6</v>
      </c>
      <c r="S566" s="8">
        <v>6.5984398999999999E-2</v>
      </c>
      <c r="T566" s="8">
        <f t="shared" si="75"/>
        <v>1.6223490740639781E-6</v>
      </c>
      <c r="U566" s="8">
        <v>1.2783880000000001E-3</v>
      </c>
      <c r="V566" s="8">
        <f t="shared" si="76"/>
        <v>3.1431544721571248E-8</v>
      </c>
      <c r="W566" s="8">
        <v>2.9354798000000001E-2</v>
      </c>
      <c r="X566" s="8">
        <f t="shared" si="77"/>
        <v>7.7280293900140903E-13</v>
      </c>
      <c r="Y566" s="8"/>
      <c r="Z566" s="8">
        <f t="shared" si="78"/>
        <v>0</v>
      </c>
      <c r="AA566" s="8">
        <v>8.4362889999999996E-3</v>
      </c>
      <c r="AB566" s="8">
        <f t="shared" si="79"/>
        <v>2.074218429675494E-7</v>
      </c>
      <c r="AC566" s="8">
        <v>0.74040298800000004</v>
      </c>
      <c r="AD566" s="18">
        <f t="shared" si="80"/>
        <v>1.8204183416386087E-5</v>
      </c>
      <c r="AE566" s="9">
        <v>92.4</v>
      </c>
      <c r="AF566" s="10">
        <v>87.6</v>
      </c>
      <c r="AG566" s="10">
        <v>70.8</v>
      </c>
      <c r="AH566" s="10">
        <v>92.9</v>
      </c>
      <c r="AI566" s="10">
        <v>88.1</v>
      </c>
      <c r="AJ566" s="10">
        <v>87.9</v>
      </c>
      <c r="AK566" s="11">
        <v>40672.134039999997</v>
      </c>
      <c r="AL566" s="11">
        <v>23.040935699999999</v>
      </c>
      <c r="AM566" s="11">
        <v>7030.3462449999997</v>
      </c>
      <c r="AN566" s="11">
        <v>40.4</v>
      </c>
      <c r="AO566" s="11">
        <v>69.228999999999999</v>
      </c>
      <c r="AP566" s="19">
        <v>12.0147753</v>
      </c>
    </row>
    <row r="567" spans="2:42">
      <c r="B567" t="s">
        <v>77</v>
      </c>
      <c r="C567" t="s">
        <v>78</v>
      </c>
      <c r="D567" t="s">
        <v>79</v>
      </c>
      <c r="E567" t="s">
        <v>35</v>
      </c>
      <c r="F567" t="s">
        <v>36</v>
      </c>
      <c r="G567" t="s">
        <v>37</v>
      </c>
      <c r="H567" t="s">
        <v>38</v>
      </c>
      <c r="I567" t="s">
        <v>39</v>
      </c>
      <c r="J567" t="s">
        <v>40</v>
      </c>
      <c r="K567">
        <v>2020</v>
      </c>
      <c r="L567">
        <v>0.22816372322858</v>
      </c>
      <c r="M567" s="7">
        <v>9.3375265970000001</v>
      </c>
      <c r="N567" s="7">
        <f t="shared" si="72"/>
        <v>1.751993603181206E-4</v>
      </c>
      <c r="O567" s="8">
        <v>2.4295790899999998</v>
      </c>
      <c r="P567" s="8">
        <f t="shared" si="73"/>
        <v>4.5586023021025672E-5</v>
      </c>
      <c r="Q567" s="8">
        <v>0.49589108399999998</v>
      </c>
      <c r="R567" s="8">
        <f t="shared" si="74"/>
        <v>9.3043698244642766E-6</v>
      </c>
      <c r="S567" s="8">
        <v>0.122902596</v>
      </c>
      <c r="T567" s="8">
        <f t="shared" si="75"/>
        <v>2.3060128372276277E-6</v>
      </c>
      <c r="U567" s="8">
        <v>0.158143437</v>
      </c>
      <c r="V567" s="8">
        <f t="shared" si="76"/>
        <v>2.9672342791302687E-6</v>
      </c>
      <c r="W567" s="8">
        <v>0.14052573500000001</v>
      </c>
      <c r="X567" s="8">
        <f t="shared" si="77"/>
        <v>5.5674009837320814E-11</v>
      </c>
      <c r="Y567" s="8">
        <v>3.6735015000000003E-2</v>
      </c>
      <c r="Z567" s="8">
        <f t="shared" si="78"/>
        <v>6.8925652445737985E-7</v>
      </c>
      <c r="AA567" s="8">
        <v>2.2267505999999999E-2</v>
      </c>
      <c r="AB567" s="8">
        <f t="shared" si="79"/>
        <v>4.1780366208898652E-7</v>
      </c>
      <c r="AC567" s="8">
        <v>3.592015913</v>
      </c>
      <c r="AD567" s="18">
        <f t="shared" si="80"/>
        <v>6.7396744059856293E-5</v>
      </c>
      <c r="AE567" s="9">
        <v>99.5</v>
      </c>
      <c r="AF567" s="10">
        <v>98.6</v>
      </c>
      <c r="AG567" s="10">
        <v>80.7</v>
      </c>
      <c r="AH567" s="10">
        <v>99</v>
      </c>
      <c r="AI567" s="10">
        <v>100</v>
      </c>
      <c r="AJ567" s="10">
        <v>99.5</v>
      </c>
      <c r="AK567" s="11">
        <v>53296.579279999998</v>
      </c>
      <c r="AL567" s="11">
        <v>7.4685793299999998</v>
      </c>
      <c r="AM567" s="11">
        <v>14688.73648</v>
      </c>
      <c r="AN567" s="11">
        <v>47.3</v>
      </c>
      <c r="AO567" s="11">
        <v>85.516999999999996</v>
      </c>
      <c r="AP567" s="19">
        <v>-0.93911409999999995</v>
      </c>
    </row>
    <row r="568" spans="2:42">
      <c r="B568" t="s">
        <v>80</v>
      </c>
      <c r="C568" t="s">
        <v>81</v>
      </c>
      <c r="D568" t="s">
        <v>82</v>
      </c>
      <c r="E568" t="s">
        <v>35</v>
      </c>
      <c r="F568" t="s">
        <v>36</v>
      </c>
      <c r="G568" t="s">
        <v>37</v>
      </c>
      <c r="H568" t="s">
        <v>38</v>
      </c>
      <c r="I568" t="s">
        <v>39</v>
      </c>
      <c r="J568" t="s">
        <v>40</v>
      </c>
      <c r="K568">
        <v>2020</v>
      </c>
      <c r="L568">
        <v>1.03792565537647</v>
      </c>
      <c r="M568" s="7">
        <v>0.16471018700000001</v>
      </c>
      <c r="N568" s="7">
        <f t="shared" si="72"/>
        <v>3.3287021137842529E-6</v>
      </c>
      <c r="O568" s="8">
        <v>45.328447730000001</v>
      </c>
      <c r="P568" s="8">
        <f t="shared" si="73"/>
        <v>9.1606294984905839E-4</v>
      </c>
      <c r="Q568" s="8">
        <v>2.4266584409999998</v>
      </c>
      <c r="R568" s="8">
        <f t="shared" si="74"/>
        <v>4.90414298539355E-5</v>
      </c>
      <c r="S568" s="8">
        <v>3.2707576020000002</v>
      </c>
      <c r="T568" s="8">
        <f t="shared" si="75"/>
        <v>6.6100208746975171E-5</v>
      </c>
      <c r="U568" s="8">
        <v>9.0098530999999996E-2</v>
      </c>
      <c r="V568" s="8">
        <f t="shared" si="76"/>
        <v>1.8208416616548194E-6</v>
      </c>
      <c r="W568" s="8">
        <v>0.19524651900000001</v>
      </c>
      <c r="X568" s="8">
        <f t="shared" si="77"/>
        <v>3.6798206585830839E-11</v>
      </c>
      <c r="Y568" s="8">
        <v>5.6750887999999999E-2</v>
      </c>
      <c r="Z568" s="8">
        <f t="shared" si="78"/>
        <v>1.1469041732357051E-6</v>
      </c>
      <c r="AA568" s="8">
        <v>0.142169562</v>
      </c>
      <c r="AB568" s="8">
        <f t="shared" si="79"/>
        <v>2.8731685038107656E-6</v>
      </c>
      <c r="AC568" s="8">
        <v>17.086877820000002</v>
      </c>
      <c r="AD568" s="18">
        <f t="shared" si="80"/>
        <v>3.4531638481721398E-4</v>
      </c>
      <c r="AE568" s="9">
        <v>83.8</v>
      </c>
      <c r="AF568" s="10">
        <v>85.7</v>
      </c>
      <c r="AG568" s="10">
        <v>56.1</v>
      </c>
      <c r="AH568" s="10">
        <v>85.2</v>
      </c>
      <c r="AI568" s="10">
        <v>87.1</v>
      </c>
      <c r="AJ568" s="10">
        <v>82.1</v>
      </c>
      <c r="AK568" s="11">
        <v>49481.804429999997</v>
      </c>
      <c r="AL568" s="11">
        <v>52.093413099999999</v>
      </c>
      <c r="AM568" s="11">
        <v>6676.2069439999996</v>
      </c>
      <c r="AN568" s="11">
        <v>16.8</v>
      </c>
      <c r="AO568" s="11">
        <v>80.974999999999994</v>
      </c>
      <c r="AP568" s="19">
        <v>0.73147169999999995</v>
      </c>
    </row>
    <row r="569" spans="2:42">
      <c r="B569" t="s">
        <v>83</v>
      </c>
      <c r="C569" t="s">
        <v>84</v>
      </c>
      <c r="D569" t="s">
        <v>85</v>
      </c>
      <c r="E569" t="s">
        <v>35</v>
      </c>
      <c r="F569" t="s">
        <v>36</v>
      </c>
      <c r="G569" t="s">
        <v>37</v>
      </c>
      <c r="H569" t="s">
        <v>38</v>
      </c>
      <c r="I569" t="s">
        <v>39</v>
      </c>
      <c r="J569" t="s">
        <v>40</v>
      </c>
      <c r="K569">
        <v>2020</v>
      </c>
      <c r="L569">
        <v>0.71305718049364097</v>
      </c>
      <c r="M569" s="7">
        <v>19.75978061</v>
      </c>
      <c r="N569" s="7">
        <f t="shared" si="72"/>
        <v>1.1767896371673507E-3</v>
      </c>
      <c r="O569" s="8">
        <v>2.0900772449999998</v>
      </c>
      <c r="P569" s="8">
        <f t="shared" si="73"/>
        <v>1.2447411696213595E-4</v>
      </c>
      <c r="Q569" s="8">
        <v>8.6674050000000002E-2</v>
      </c>
      <c r="R569" s="8">
        <f t="shared" si="74"/>
        <v>5.1618550764529379E-6</v>
      </c>
      <c r="S569" s="8">
        <v>0.11941513500000001</v>
      </c>
      <c r="T569" s="8">
        <f t="shared" si="75"/>
        <v>7.1117436049782242E-6</v>
      </c>
      <c r="U569" s="8">
        <v>2.8610549999999999E-3</v>
      </c>
      <c r="V569" s="8">
        <f t="shared" si="76"/>
        <v>1.7038953730396883E-7</v>
      </c>
      <c r="W569" s="8">
        <v>1.163835E-3</v>
      </c>
      <c r="X569" s="8">
        <f t="shared" si="77"/>
        <v>1.0147513564982352E-11</v>
      </c>
      <c r="Y569" s="8">
        <v>6.8930399999999996E-3</v>
      </c>
      <c r="Z569" s="8">
        <f t="shared" si="78"/>
        <v>4.1051356797326485E-7</v>
      </c>
      <c r="AA569" s="8">
        <v>1.8569387E-2</v>
      </c>
      <c r="AB569" s="8">
        <f t="shared" si="79"/>
        <v>1.1058959925441256E-6</v>
      </c>
      <c r="AC569" s="8">
        <v>1.5859908540000001</v>
      </c>
      <c r="AD569" s="18">
        <f t="shared" si="80"/>
        <v>9.4453356465145337E-5</v>
      </c>
      <c r="AE569" s="9">
        <v>71</v>
      </c>
      <c r="AF569" s="10">
        <v>74.8</v>
      </c>
      <c r="AG569" s="10">
        <v>32.5</v>
      </c>
      <c r="AH569" s="10">
        <v>81.400000000000006</v>
      </c>
      <c r="AI569" s="10">
        <v>58.6</v>
      </c>
      <c r="AJ569" s="10">
        <v>49.8</v>
      </c>
      <c r="AK569" s="11">
        <v>16791.259870000002</v>
      </c>
      <c r="AL569" s="11">
        <v>34.219312100000003</v>
      </c>
      <c r="AM569" s="11">
        <v>3150.6566710000002</v>
      </c>
      <c r="AN569" s="11">
        <v>23.4</v>
      </c>
      <c r="AO569" s="11">
        <v>59.453000000000003</v>
      </c>
      <c r="AP569" s="19">
        <v>3.3983767299999998</v>
      </c>
    </row>
    <row r="570" spans="2:42">
      <c r="B570" t="s">
        <v>86</v>
      </c>
      <c r="C570" t="s">
        <v>87</v>
      </c>
      <c r="D570" t="s">
        <v>88</v>
      </c>
      <c r="E570" t="s">
        <v>35</v>
      </c>
      <c r="F570" t="s">
        <v>36</v>
      </c>
      <c r="G570" t="s">
        <v>37</v>
      </c>
      <c r="H570" t="s">
        <v>38</v>
      </c>
      <c r="I570" t="s">
        <v>39</v>
      </c>
      <c r="J570" t="s">
        <v>40</v>
      </c>
      <c r="K570">
        <v>2020</v>
      </c>
      <c r="L570">
        <v>0.67853398836564005</v>
      </c>
      <c r="M570" s="7">
        <v>17.346220890000001</v>
      </c>
      <c r="N570" s="7">
        <f t="shared" si="72"/>
        <v>2.9557745487867649E-4</v>
      </c>
      <c r="O570" s="8">
        <v>36.29580584</v>
      </c>
      <c r="P570" s="8">
        <f t="shared" si="73"/>
        <v>6.1847603469309916E-4</v>
      </c>
      <c r="Q570" s="8">
        <v>2.9746480289999999</v>
      </c>
      <c r="R570" s="8">
        <f t="shared" si="74"/>
        <v>5.0687633874106129E-5</v>
      </c>
      <c r="S570" s="8">
        <v>9.7297420720000005</v>
      </c>
      <c r="T570" s="8">
        <f t="shared" si="75"/>
        <v>1.6579359945345076E-4</v>
      </c>
      <c r="U570" s="8">
        <v>0.21392391899999999</v>
      </c>
      <c r="V570" s="8">
        <f t="shared" si="76"/>
        <v>3.6452370759411063E-6</v>
      </c>
      <c r="W570" s="8">
        <v>0.42214958499999999</v>
      </c>
      <c r="X570" s="8">
        <f t="shared" si="77"/>
        <v>6.2114388152246165E-11</v>
      </c>
      <c r="Y570" s="8">
        <v>0.24199590200000001</v>
      </c>
      <c r="Z570" s="8">
        <f t="shared" si="78"/>
        <v>4.1235801883201779E-6</v>
      </c>
      <c r="AA570" s="8">
        <v>0.249683981</v>
      </c>
      <c r="AB570" s="8">
        <f t="shared" si="79"/>
        <v>4.2545841019758748E-6</v>
      </c>
      <c r="AC570" s="8">
        <v>12.248344169999999</v>
      </c>
      <c r="AD570" s="18">
        <f t="shared" si="80"/>
        <v>2.0871026716451981E-4</v>
      </c>
      <c r="AE570" s="9">
        <v>95.2</v>
      </c>
      <c r="AF570" s="10">
        <v>88.1</v>
      </c>
      <c r="AG570" s="10">
        <v>67.900000000000006</v>
      </c>
      <c r="AH570" s="10">
        <v>93.3</v>
      </c>
      <c r="AI570" s="10">
        <v>91</v>
      </c>
      <c r="AJ570" s="10">
        <v>94.2</v>
      </c>
      <c r="AK570" s="11">
        <v>58685.8727</v>
      </c>
      <c r="AL570" s="11">
        <v>47.4970663</v>
      </c>
      <c r="AM570" s="11">
        <v>6367.1050290000003</v>
      </c>
      <c r="AN570" s="11">
        <v>18.5</v>
      </c>
      <c r="AO570" s="11">
        <v>77.453000000000003</v>
      </c>
      <c r="AP570" s="19">
        <v>4.4866657099999996</v>
      </c>
    </row>
    <row r="571" spans="2:42">
      <c r="B571" t="s">
        <v>89</v>
      </c>
      <c r="C571" t="s">
        <v>90</v>
      </c>
      <c r="D571" t="s">
        <v>91</v>
      </c>
      <c r="E571" t="s">
        <v>35</v>
      </c>
      <c r="F571" t="s">
        <v>36</v>
      </c>
      <c r="G571" t="s">
        <v>37</v>
      </c>
      <c r="H571" t="s">
        <v>38</v>
      </c>
      <c r="I571" t="s">
        <v>39</v>
      </c>
      <c r="J571" t="s">
        <v>40</v>
      </c>
      <c r="K571">
        <v>2020</v>
      </c>
      <c r="L571">
        <v>1.6355564158087701</v>
      </c>
      <c r="M571" s="7">
        <v>0.66216517699999999</v>
      </c>
      <c r="N571" s="7">
        <f t="shared" si="72"/>
        <v>2.2421129237467263E-5</v>
      </c>
      <c r="O571" s="8">
        <v>4.2220073789999999</v>
      </c>
      <c r="P571" s="8">
        <f t="shared" si="73"/>
        <v>1.4295854927765165E-4</v>
      </c>
      <c r="Q571" s="8">
        <v>0.24275840200000001</v>
      </c>
      <c r="R571" s="8">
        <f t="shared" si="74"/>
        <v>8.2198788063465807E-6</v>
      </c>
      <c r="S571" s="8">
        <v>2.0070695989999998</v>
      </c>
      <c r="T571" s="8">
        <f t="shared" si="75"/>
        <v>6.7960032376892257E-5</v>
      </c>
      <c r="U571" s="8">
        <v>9.1927769999999992E-3</v>
      </c>
      <c r="V571" s="8">
        <f t="shared" si="76"/>
        <v>3.112704327068782E-7</v>
      </c>
      <c r="W571" s="8">
        <v>2.0901876999999999E-2</v>
      </c>
      <c r="X571" s="8">
        <f t="shared" si="77"/>
        <v>1.0539718550501899E-11</v>
      </c>
      <c r="Y571" s="8">
        <v>1.139758E-3</v>
      </c>
      <c r="Z571" s="8">
        <f t="shared" si="78"/>
        <v>3.8592578264557723E-8</v>
      </c>
      <c r="AA571" s="8">
        <v>5.2980665000000003E-2</v>
      </c>
      <c r="AB571" s="8">
        <f t="shared" si="79"/>
        <v>1.7939426268741381E-6</v>
      </c>
      <c r="AC571" s="8">
        <v>4.1608483339999998</v>
      </c>
      <c r="AD571" s="18">
        <f t="shared" si="80"/>
        <v>1.4088768403191693E-4</v>
      </c>
      <c r="AE571" s="9">
        <v>57.1</v>
      </c>
      <c r="AF571" s="10">
        <v>67.099999999999994</v>
      </c>
      <c r="AG571" s="10">
        <v>51.4</v>
      </c>
      <c r="AH571" s="10">
        <v>71.400000000000006</v>
      </c>
      <c r="AI571" s="10">
        <v>60</v>
      </c>
      <c r="AJ571" s="10">
        <v>77.8</v>
      </c>
      <c r="AK571" s="11">
        <v>29533.087739999999</v>
      </c>
      <c r="AL571" s="11">
        <v>43.635845600000003</v>
      </c>
      <c r="AM571" s="11">
        <v>4851.2894070000002</v>
      </c>
      <c r="AN571" s="11">
        <v>20.100000000000001</v>
      </c>
      <c r="AO571" s="11">
        <v>79.715000000000003</v>
      </c>
      <c r="AP571" s="19">
        <v>1.72637818</v>
      </c>
    </row>
    <row r="572" spans="2:42">
      <c r="B572" t="s">
        <v>92</v>
      </c>
      <c r="C572" t="s">
        <v>93</v>
      </c>
      <c r="D572" t="s">
        <v>94</v>
      </c>
      <c r="E572" t="s">
        <v>35</v>
      </c>
      <c r="F572" t="s">
        <v>36</v>
      </c>
      <c r="G572" t="s">
        <v>37</v>
      </c>
      <c r="H572" t="s">
        <v>38</v>
      </c>
      <c r="I572" t="s">
        <v>39</v>
      </c>
      <c r="J572" t="s">
        <v>40</v>
      </c>
      <c r="K572">
        <v>2020</v>
      </c>
      <c r="L572">
        <v>0.75987497235448298</v>
      </c>
      <c r="M572" s="7">
        <v>19.75978061</v>
      </c>
      <c r="N572" s="7">
        <f t="shared" si="72"/>
        <v>5.553060573709913E-4</v>
      </c>
      <c r="O572" s="8">
        <v>3.6776948740000002</v>
      </c>
      <c r="P572" s="8">
        <f t="shared" si="73"/>
        <v>1.0335369005366931E-4</v>
      </c>
      <c r="Q572" s="8">
        <v>0.50920509599999997</v>
      </c>
      <c r="R572" s="8">
        <f t="shared" si="74"/>
        <v>1.4310112031804442E-5</v>
      </c>
      <c r="S572" s="8">
        <v>2.1028339900000002</v>
      </c>
      <c r="T572" s="8">
        <f t="shared" si="75"/>
        <v>5.9095618283416289E-5</v>
      </c>
      <c r="U572" s="8">
        <v>1.7547942E-2</v>
      </c>
      <c r="V572" s="8">
        <f t="shared" si="76"/>
        <v>4.9314709911624008E-7</v>
      </c>
      <c r="W572" s="8">
        <v>3.3149164000000002E-2</v>
      </c>
      <c r="X572" s="8">
        <f t="shared" si="77"/>
        <v>1.3858836629774744E-11</v>
      </c>
      <c r="Y572" s="8">
        <v>6.0899090000000001E-3</v>
      </c>
      <c r="Z572" s="8">
        <f t="shared" si="78"/>
        <v>1.7114377043369998E-7</v>
      </c>
      <c r="AA572" s="8">
        <v>1.7859271999999999E-2</v>
      </c>
      <c r="AB572" s="8">
        <f t="shared" si="79"/>
        <v>5.0189635793917545E-7</v>
      </c>
      <c r="AC572" s="8">
        <v>3.5878108480000002</v>
      </c>
      <c r="AD572" s="18">
        <f t="shared" si="80"/>
        <v>1.0082769317729551E-4</v>
      </c>
      <c r="AE572" s="9">
        <v>58.6</v>
      </c>
      <c r="AF572" s="10">
        <v>70</v>
      </c>
      <c r="AG572" s="10">
        <v>74.099999999999994</v>
      </c>
      <c r="AH572" s="10">
        <v>66.7</v>
      </c>
      <c r="AI572" s="10">
        <v>66.2</v>
      </c>
      <c r="AJ572" s="10">
        <v>58.9</v>
      </c>
      <c r="AK572" s="11">
        <v>35583.585570000003</v>
      </c>
      <c r="AL572" s="11">
        <v>53.875439399999998</v>
      </c>
      <c r="AM572" s="11">
        <v>4494.9448419999999</v>
      </c>
      <c r="AN572" s="11">
        <v>14.8</v>
      </c>
      <c r="AO572" s="11">
        <v>71.941999999999993</v>
      </c>
      <c r="AP572" s="19">
        <v>105.635756</v>
      </c>
    </row>
    <row r="573" spans="2:42">
      <c r="B573" t="s">
        <v>95</v>
      </c>
      <c r="C573" t="s">
        <v>96</v>
      </c>
      <c r="D573" t="s">
        <v>97</v>
      </c>
      <c r="E573" t="s">
        <v>35</v>
      </c>
      <c r="F573" t="s">
        <v>36</v>
      </c>
      <c r="G573" t="s">
        <v>37</v>
      </c>
      <c r="H573" t="s">
        <v>38</v>
      </c>
      <c r="I573" t="s">
        <v>39</v>
      </c>
      <c r="J573" t="s">
        <v>40</v>
      </c>
      <c r="K573">
        <v>2020</v>
      </c>
      <c r="L573">
        <v>0.80350199902661701</v>
      </c>
      <c r="M573" s="7">
        <v>65.841335229999999</v>
      </c>
      <c r="N573" s="7">
        <f t="shared" si="72"/>
        <v>1.1800210688883391E-3</v>
      </c>
      <c r="O573" s="8">
        <v>0.29750054999999997</v>
      </c>
      <c r="P573" s="8">
        <f t="shared" si="73"/>
        <v>5.3318620556454466E-6</v>
      </c>
      <c r="Q573" s="8">
        <v>1.391038E-3</v>
      </c>
      <c r="R573" s="8">
        <f t="shared" si="74"/>
        <v>2.4930450482061065E-8</v>
      </c>
      <c r="S573" s="8"/>
      <c r="T573" s="8">
        <f t="shared" si="75"/>
        <v>0</v>
      </c>
      <c r="U573" s="14">
        <v>7.9980699999999998E-5</v>
      </c>
      <c r="V573" s="8">
        <f t="shared" si="76"/>
        <v>1.4334294827823403E-9</v>
      </c>
      <c r="W573" s="14">
        <v>2.0039399999999998E-6</v>
      </c>
      <c r="X573" s="8">
        <f t="shared" si="77"/>
        <v>2.569019878682792E-14</v>
      </c>
      <c r="Y573" s="8">
        <v>3.5721160000000002E-3</v>
      </c>
      <c r="Z573" s="8">
        <f t="shared" si="78"/>
        <v>6.4020149740106338E-8</v>
      </c>
      <c r="AA573" s="8">
        <v>2.0230249999999999E-3</v>
      </c>
      <c r="AB573" s="8">
        <f t="shared" si="79"/>
        <v>3.6257043004196567E-8</v>
      </c>
      <c r="AC573" s="8">
        <v>0.25873762099999997</v>
      </c>
      <c r="AD573" s="18">
        <f t="shared" si="80"/>
        <v>4.6371453894047338E-6</v>
      </c>
      <c r="AE573" s="9">
        <v>94.8</v>
      </c>
      <c r="AF573" s="10">
        <v>91</v>
      </c>
      <c r="AG573" s="10">
        <v>96.7</v>
      </c>
      <c r="AH573" s="10">
        <v>91.4</v>
      </c>
      <c r="AI573" s="10">
        <v>96.2</v>
      </c>
      <c r="AJ573" s="10">
        <v>94.7</v>
      </c>
      <c r="AK573" s="11">
        <v>55796.745470000002</v>
      </c>
      <c r="AL573" s="11">
        <v>18.565902999999999</v>
      </c>
      <c r="AM573" s="11">
        <v>50719.990830000002</v>
      </c>
      <c r="AN573" s="11">
        <v>82.9</v>
      </c>
      <c r="AO573" s="11">
        <v>93.897999999999996</v>
      </c>
      <c r="AP573" s="19">
        <v>-4.0613054000000002</v>
      </c>
    </row>
    <row r="574" spans="2:42">
      <c r="B574" t="s">
        <v>98</v>
      </c>
      <c r="C574" t="s">
        <v>99</v>
      </c>
      <c r="D574" t="s">
        <v>100</v>
      </c>
      <c r="E574" t="s">
        <v>35</v>
      </c>
      <c r="F574" t="s">
        <v>36</v>
      </c>
      <c r="G574" t="s">
        <v>37</v>
      </c>
      <c r="H574" t="s">
        <v>38</v>
      </c>
      <c r="I574" t="s">
        <v>39</v>
      </c>
      <c r="J574" t="s">
        <v>40</v>
      </c>
      <c r="K574">
        <v>2020</v>
      </c>
      <c r="L574">
        <v>0.27413018108806197</v>
      </c>
      <c r="M574" s="7">
        <v>3433.6189840000002</v>
      </c>
      <c r="N574" s="7">
        <f t="shared" si="72"/>
        <v>0.29273692708808441</v>
      </c>
      <c r="O574" s="8">
        <v>114.4557853</v>
      </c>
      <c r="P574" s="8">
        <f t="shared" si="73"/>
        <v>9.7580526646387916E-3</v>
      </c>
      <c r="Q574" s="8">
        <v>4.7532814300000004</v>
      </c>
      <c r="R574" s="8">
        <f t="shared" si="74"/>
        <v>4.0524618657078568E-4</v>
      </c>
      <c r="S574" s="8">
        <v>199.38063020000001</v>
      </c>
      <c r="T574" s="8">
        <f t="shared" si="75"/>
        <v>1.6998412834274369E-2</v>
      </c>
      <c r="U574" s="8">
        <v>0.56766846400000004</v>
      </c>
      <c r="V574" s="8">
        <f t="shared" si="76"/>
        <v>4.8397193320088207E-5</v>
      </c>
      <c r="W574" s="8">
        <v>0.271343693</v>
      </c>
      <c r="X574" s="8">
        <f t="shared" si="77"/>
        <v>4.1261554407256807E-9</v>
      </c>
      <c r="Y574" s="8">
        <v>0.13130312799999999</v>
      </c>
      <c r="Z574" s="8">
        <f t="shared" si="78"/>
        <v>1.1194391220133529E-5</v>
      </c>
      <c r="AA574" s="8">
        <v>0.76429159300000005</v>
      </c>
      <c r="AB574" s="8">
        <f t="shared" si="79"/>
        <v>6.5160512385516577E-5</v>
      </c>
      <c r="AC574" s="8">
        <v>47.909465140000002</v>
      </c>
      <c r="AD574" s="18">
        <f t="shared" si="80"/>
        <v>4.0845736433979653E-3</v>
      </c>
      <c r="AE574" s="9">
        <v>36.700000000000003</v>
      </c>
      <c r="AF574" s="10">
        <v>63.8</v>
      </c>
      <c r="AG574" s="10">
        <v>28.3</v>
      </c>
      <c r="AH574" s="10">
        <v>58.1</v>
      </c>
      <c r="AI574" s="10">
        <v>40.5</v>
      </c>
      <c r="AJ574" s="10">
        <v>52.2</v>
      </c>
      <c r="AK574" s="11">
        <v>11729.36745</v>
      </c>
      <c r="AL574" s="11">
        <v>29.7737813</v>
      </c>
      <c r="AM574" s="11">
        <v>975.62043819999997</v>
      </c>
      <c r="AN574" s="11">
        <v>21.9</v>
      </c>
      <c r="AO574" s="11">
        <v>56.640999999999998</v>
      </c>
      <c r="AP574" s="19">
        <v>1.8105840200000001</v>
      </c>
    </row>
    <row r="575" spans="2:42">
      <c r="B575" t="s">
        <v>101</v>
      </c>
      <c r="C575" t="s">
        <v>102</v>
      </c>
      <c r="D575" t="s">
        <v>103</v>
      </c>
      <c r="E575" t="s">
        <v>35</v>
      </c>
      <c r="F575" t="s">
        <v>36</v>
      </c>
      <c r="G575" t="s">
        <v>37</v>
      </c>
      <c r="H575" t="s">
        <v>38</v>
      </c>
      <c r="I575" t="s">
        <v>39</v>
      </c>
      <c r="J575" t="s">
        <v>40</v>
      </c>
      <c r="K575">
        <v>2020</v>
      </c>
      <c r="L575">
        <v>0.384454022680213</v>
      </c>
      <c r="M575" s="7">
        <v>59.258451209999997</v>
      </c>
      <c r="N575" s="7">
        <f t="shared" si="72"/>
        <v>6.0591511376285542E-4</v>
      </c>
      <c r="O575" s="8">
        <v>15.5864867</v>
      </c>
      <c r="P575" s="8">
        <f t="shared" si="73"/>
        <v>1.5937115582933127E-4</v>
      </c>
      <c r="Q575" s="8">
        <v>0.17383594799999999</v>
      </c>
      <c r="R575" s="8">
        <f t="shared" si="74"/>
        <v>1.777465088232329E-6</v>
      </c>
      <c r="S575" s="8">
        <v>1.259120832</v>
      </c>
      <c r="T575" s="8">
        <f t="shared" si="75"/>
        <v>1.2874456327905456E-5</v>
      </c>
      <c r="U575" s="8">
        <v>1.1397159E-2</v>
      </c>
      <c r="V575" s="8">
        <f t="shared" si="76"/>
        <v>1.1653546036135682E-7</v>
      </c>
      <c r="W575" s="8">
        <v>2.2783422000000001E-2</v>
      </c>
      <c r="X575" s="8">
        <f t="shared" si="77"/>
        <v>1.1915700677364741E-12</v>
      </c>
      <c r="Y575" s="8"/>
      <c r="Z575" s="8">
        <f t="shared" si="78"/>
        <v>0</v>
      </c>
      <c r="AA575" s="8">
        <v>7.9846780000000003E-3</v>
      </c>
      <c r="AB575" s="8">
        <f t="shared" si="79"/>
        <v>8.1642988973585249E-8</v>
      </c>
      <c r="AC575" s="8">
        <v>0.74397823399999996</v>
      </c>
      <c r="AD575" s="18">
        <f t="shared" si="80"/>
        <v>7.6071454296653435E-6</v>
      </c>
      <c r="AE575" s="9">
        <v>91.4</v>
      </c>
      <c r="AF575" s="10">
        <v>90</v>
      </c>
      <c r="AG575" s="10">
        <v>80.2</v>
      </c>
      <c r="AH575" s="10">
        <v>91.9</v>
      </c>
      <c r="AI575" s="10">
        <v>89.5</v>
      </c>
      <c r="AJ575" s="10">
        <v>95.2</v>
      </c>
      <c r="AK575" s="11">
        <v>97799.922569999995</v>
      </c>
      <c r="AL575" s="11">
        <v>65.495717799999994</v>
      </c>
      <c r="AM575" s="11">
        <v>5913.7889260000002</v>
      </c>
      <c r="AN575" s="11">
        <v>13.7</v>
      </c>
      <c r="AO575" s="11">
        <v>63.652999999999999</v>
      </c>
      <c r="AP575" s="19">
        <v>8.0833262399999999</v>
      </c>
    </row>
    <row r="576" spans="2:42">
      <c r="B576" t="s">
        <v>104</v>
      </c>
      <c r="C576" t="s">
        <v>105</v>
      </c>
      <c r="D576" t="s">
        <v>106</v>
      </c>
      <c r="E576" t="s">
        <v>35</v>
      </c>
      <c r="F576" t="s">
        <v>36</v>
      </c>
      <c r="G576" t="s">
        <v>37</v>
      </c>
      <c r="H576" t="s">
        <v>38</v>
      </c>
      <c r="I576" t="s">
        <v>39</v>
      </c>
      <c r="J576" t="s">
        <v>40</v>
      </c>
      <c r="K576">
        <v>2020</v>
      </c>
      <c r="L576">
        <v>0.58415815721355502</v>
      </c>
      <c r="M576" s="7">
        <v>4.1988526930000001</v>
      </c>
      <c r="N576" s="7">
        <f t="shared" si="72"/>
        <v>1.025228521651316E-4</v>
      </c>
      <c r="O576" s="8">
        <v>1.945598374</v>
      </c>
      <c r="P576" s="8">
        <f t="shared" si="73"/>
        <v>4.7505428042965263E-5</v>
      </c>
      <c r="Q576" s="8">
        <v>1.2008392999999999E-2</v>
      </c>
      <c r="R576" s="8">
        <f t="shared" si="74"/>
        <v>2.9320740456845574E-7</v>
      </c>
      <c r="S576" s="8">
        <v>0.41798229399999998</v>
      </c>
      <c r="T576" s="8">
        <f t="shared" si="75"/>
        <v>1.0205820510646948E-5</v>
      </c>
      <c r="U576" s="8">
        <v>5.6245490000000004E-3</v>
      </c>
      <c r="V576" s="8">
        <f t="shared" si="76"/>
        <v>1.373338975629881E-7</v>
      </c>
      <c r="W576" s="8">
        <v>3.1787528000000002E-2</v>
      </c>
      <c r="X576" s="8">
        <f t="shared" si="77"/>
        <v>3.3532643096968859E-12</v>
      </c>
      <c r="Y576" s="8">
        <v>1.848E-3</v>
      </c>
      <c r="Z576" s="8">
        <f t="shared" si="78"/>
        <v>4.5122380958260299E-8</v>
      </c>
      <c r="AA576" s="8">
        <v>4.6657125000000001E-2</v>
      </c>
      <c r="AB576" s="8">
        <f t="shared" si="79"/>
        <v>1.1392210869411096E-6</v>
      </c>
      <c r="AC576" s="8">
        <v>6.3713289770000001</v>
      </c>
      <c r="AD576" s="18">
        <f t="shared" si="80"/>
        <v>1.5556792928062601E-4</v>
      </c>
      <c r="AE576" s="9">
        <v>68.099999999999994</v>
      </c>
      <c r="AF576" s="10">
        <v>82.4</v>
      </c>
      <c r="AG576" s="10">
        <v>16.5</v>
      </c>
      <c r="AH576" s="10">
        <v>86.2</v>
      </c>
      <c r="AI576" s="10">
        <v>80.5</v>
      </c>
      <c r="AJ576" s="10">
        <v>68.099999999999994</v>
      </c>
      <c r="AK576" s="11">
        <v>40955.285620000002</v>
      </c>
      <c r="AL576" s="11">
        <v>29.870609999999999</v>
      </c>
      <c r="AM576" s="11">
        <v>6819.6764009999997</v>
      </c>
      <c r="AN576" s="11">
        <v>5.6</v>
      </c>
      <c r="AO576" s="11">
        <v>92.587000000000003</v>
      </c>
      <c r="AP576" s="19">
        <v>5.10475061</v>
      </c>
    </row>
    <row r="577" spans="2:42">
      <c r="B577" t="s">
        <v>107</v>
      </c>
      <c r="C577" t="s">
        <v>108</v>
      </c>
      <c r="D577" t="s">
        <v>109</v>
      </c>
      <c r="E577" t="s">
        <v>35</v>
      </c>
      <c r="F577" t="s">
        <v>36</v>
      </c>
      <c r="G577" t="s">
        <v>37</v>
      </c>
      <c r="H577" t="s">
        <v>38</v>
      </c>
      <c r="I577" t="s">
        <v>39</v>
      </c>
      <c r="J577" t="s">
        <v>40</v>
      </c>
      <c r="K577">
        <v>2020</v>
      </c>
      <c r="L577">
        <v>0.98185834298957098</v>
      </c>
      <c r="M577" s="7">
        <v>78.130398139999997</v>
      </c>
      <c r="N577" s="7">
        <f t="shared" si="72"/>
        <v>1.7582821377504509E-3</v>
      </c>
      <c r="O577" s="8">
        <v>22.567858730000001</v>
      </c>
      <c r="P577" s="8">
        <f t="shared" si="73"/>
        <v>5.0787739262676921E-4</v>
      </c>
      <c r="Q577" s="8">
        <v>2.301540181</v>
      </c>
      <c r="R577" s="8">
        <f t="shared" si="74"/>
        <v>5.1794910635370786E-5</v>
      </c>
      <c r="S577" s="8">
        <v>4.565313089</v>
      </c>
      <c r="T577" s="8">
        <f t="shared" si="75"/>
        <v>1.0273988932250735E-4</v>
      </c>
      <c r="U577" s="8">
        <v>5.0649594999999999E-2</v>
      </c>
      <c r="V577" s="8">
        <f t="shared" si="76"/>
        <v>1.1398416018975958E-6</v>
      </c>
      <c r="W577" s="8">
        <v>0.242017711</v>
      </c>
      <c r="X577" s="8">
        <f t="shared" si="77"/>
        <v>2.5651515622513416E-11</v>
      </c>
      <c r="Y577" s="8">
        <v>2.9522856E-2</v>
      </c>
      <c r="Z577" s="8">
        <f t="shared" si="78"/>
        <v>6.643958253887726E-7</v>
      </c>
      <c r="AA577" s="8">
        <v>0.30913074099999999</v>
      </c>
      <c r="AB577" s="8">
        <f t="shared" si="79"/>
        <v>6.9568192799415442E-6</v>
      </c>
      <c r="AC577" s="8">
        <v>12.25895526</v>
      </c>
      <c r="AD577" s="18">
        <f t="shared" si="80"/>
        <v>2.7588112404747483E-4</v>
      </c>
      <c r="AE577" s="9">
        <v>67.099999999999994</v>
      </c>
      <c r="AF577" s="10">
        <v>65.2</v>
      </c>
      <c r="AG577" s="10">
        <v>58</v>
      </c>
      <c r="AH577" s="10">
        <v>68.099999999999994</v>
      </c>
      <c r="AI577" s="10">
        <v>57.6</v>
      </c>
      <c r="AJ577" s="10">
        <v>81.2</v>
      </c>
      <c r="AK577" s="11">
        <v>44435.64344</v>
      </c>
      <c r="AL577" s="11">
        <v>42.332263599999997</v>
      </c>
      <c r="AM577" s="11">
        <v>4969.2414140000001</v>
      </c>
      <c r="AN577" s="11">
        <v>18.7</v>
      </c>
      <c r="AO577" s="11">
        <v>71.039000000000001</v>
      </c>
      <c r="AP577" s="19">
        <v>-0.8938699</v>
      </c>
    </row>
    <row r="578" spans="2:42">
      <c r="B578" t="s">
        <v>110</v>
      </c>
      <c r="C578" t="s">
        <v>111</v>
      </c>
      <c r="D578" t="s">
        <v>112</v>
      </c>
      <c r="E578" t="s">
        <v>35</v>
      </c>
      <c r="F578" t="s">
        <v>36</v>
      </c>
      <c r="G578" t="s">
        <v>37</v>
      </c>
      <c r="H578" t="s">
        <v>38</v>
      </c>
      <c r="I578" t="s">
        <v>39</v>
      </c>
      <c r="J578" t="s">
        <v>40</v>
      </c>
      <c r="K578">
        <v>2020</v>
      </c>
      <c r="L578">
        <v>1.26161216463648</v>
      </c>
      <c r="M578" s="7">
        <v>1.407936874</v>
      </c>
      <c r="N578" s="7">
        <f t="shared" si="72"/>
        <v>3.3185947445751995E-5</v>
      </c>
      <c r="O578" s="8">
        <v>44.047343210000001</v>
      </c>
      <c r="P578" s="8">
        <f t="shared" si="73"/>
        <v>1.0382232640439113E-3</v>
      </c>
      <c r="Q578" s="8">
        <v>1.112779701</v>
      </c>
      <c r="R578" s="8">
        <f t="shared" si="74"/>
        <v>2.6228909376575941E-5</v>
      </c>
      <c r="S578" s="8">
        <v>3.7455450680000002</v>
      </c>
      <c r="T578" s="8">
        <f t="shared" si="75"/>
        <v>8.8284825887970585E-5</v>
      </c>
      <c r="U578" s="8">
        <v>0.32622159499999998</v>
      </c>
      <c r="V578" s="8">
        <f t="shared" si="76"/>
        <v>7.6892458087147105E-6</v>
      </c>
      <c r="W578" s="8">
        <v>0.64181986800000002</v>
      </c>
      <c r="X578" s="8">
        <f t="shared" si="77"/>
        <v>1.8124030417678737E-10</v>
      </c>
      <c r="Y578" s="8">
        <v>0.450618572</v>
      </c>
      <c r="Z578" s="8">
        <f t="shared" si="78"/>
        <v>1.0621359895196417E-5</v>
      </c>
      <c r="AA578" s="8">
        <v>0.494485601</v>
      </c>
      <c r="AB578" s="8">
        <f t="shared" si="79"/>
        <v>1.1655333041207847E-5</v>
      </c>
      <c r="AC578" s="8">
        <v>6.9516019050000004</v>
      </c>
      <c r="AD578" s="18">
        <f t="shared" si="80"/>
        <v>1.638535787671397E-4</v>
      </c>
      <c r="AE578" s="9">
        <v>90.5</v>
      </c>
      <c r="AF578" s="10">
        <v>92.4</v>
      </c>
      <c r="AG578" s="10">
        <v>85.4</v>
      </c>
      <c r="AH578" s="10">
        <v>89.5</v>
      </c>
      <c r="AI578" s="10">
        <v>90.5</v>
      </c>
      <c r="AJ578" s="10">
        <v>79.2</v>
      </c>
      <c r="AK578" s="11">
        <v>42425.694680000001</v>
      </c>
      <c r="AL578" s="11">
        <v>12.8449931</v>
      </c>
      <c r="AM578" s="11">
        <v>7687.5361350000003</v>
      </c>
      <c r="AN578" s="11">
        <v>8.5</v>
      </c>
      <c r="AO578" s="11">
        <v>91.781999999999996</v>
      </c>
      <c r="AP578" s="19">
        <v>1.23830386</v>
      </c>
    </row>
    <row r="579" spans="2:42">
      <c r="B579" t="s">
        <v>113</v>
      </c>
      <c r="C579" t="s">
        <v>114</v>
      </c>
      <c r="D579" t="s">
        <v>115</v>
      </c>
      <c r="E579" t="s">
        <v>35</v>
      </c>
      <c r="F579" t="s">
        <v>36</v>
      </c>
      <c r="G579" t="s">
        <v>37</v>
      </c>
      <c r="H579" t="s">
        <v>38</v>
      </c>
      <c r="I579" t="s">
        <v>39</v>
      </c>
      <c r="J579" t="s">
        <v>40</v>
      </c>
      <c r="K579">
        <v>2020</v>
      </c>
      <c r="L579">
        <v>0.56669396991175103</v>
      </c>
      <c r="M579" s="7">
        <v>34.479182459999997</v>
      </c>
      <c r="N579" s="7">
        <f t="shared" ref="N579:N642" si="81">M579/AK579</f>
        <v>1.0530753293269501E-3</v>
      </c>
      <c r="O579" s="8">
        <v>1.18954469</v>
      </c>
      <c r="P579" s="8">
        <f t="shared" ref="P579:P642" si="82">O579/AK579</f>
        <v>3.6331492709380065E-5</v>
      </c>
      <c r="Q579" s="8">
        <v>0.18669511799999999</v>
      </c>
      <c r="R579" s="8">
        <f t="shared" ref="R579:R642" si="83">Q579/AK579</f>
        <v>5.7021080212579912E-6</v>
      </c>
      <c r="S579" s="8">
        <v>0.17609354899999999</v>
      </c>
      <c r="T579" s="8">
        <f t="shared" ref="T579:T642" si="84">S579/AK579</f>
        <v>5.3783111685046153E-6</v>
      </c>
      <c r="U579" s="8">
        <v>1.7165716000000001E-2</v>
      </c>
      <c r="V579" s="8">
        <f t="shared" ref="V579:V642" si="85">U579/AK579</f>
        <v>5.2428134138053164E-7</v>
      </c>
      <c r="W579" s="8">
        <v>1.9722019E-2</v>
      </c>
      <c r="X579" s="8">
        <f t="shared" ref="X579:X642" si="86">V579/AK579</f>
        <v>1.6012785305300961E-11</v>
      </c>
      <c r="Y579" s="8"/>
      <c r="Z579" s="8">
        <f t="shared" ref="Z579:Z642" si="87">Y579/AK579</f>
        <v>0</v>
      </c>
      <c r="AA579" s="8">
        <v>5.9649799999999999E-3</v>
      </c>
      <c r="AB579" s="8">
        <f t="shared" ref="AB579:AB642" si="88">AA579/AK579</f>
        <v>1.8218451917228758E-7</v>
      </c>
      <c r="AC579" s="8">
        <v>0.75806289100000002</v>
      </c>
      <c r="AD579" s="18">
        <f t="shared" ref="AD579:AD642" si="89">AC579/AK579</f>
        <v>2.3153023698183271E-5</v>
      </c>
      <c r="AE579" s="9">
        <v>74.8</v>
      </c>
      <c r="AF579" s="10">
        <v>76.2</v>
      </c>
      <c r="AG579" s="10">
        <v>60.8</v>
      </c>
      <c r="AH579" s="10">
        <v>84.3</v>
      </c>
      <c r="AI579" s="10">
        <v>79.5</v>
      </c>
      <c r="AJ579" s="10">
        <v>73.400000000000006</v>
      </c>
      <c r="AK579" s="11">
        <v>32741.420770000001</v>
      </c>
      <c r="AL579" s="11">
        <v>31.640687799999998</v>
      </c>
      <c r="AM579" s="11">
        <v>3669.1329260000002</v>
      </c>
      <c r="AN579" s="11">
        <v>43.8</v>
      </c>
      <c r="AO579" s="11">
        <v>68.314999999999998</v>
      </c>
      <c r="AP579" s="19">
        <v>2.8141355799999999</v>
      </c>
    </row>
    <row r="580" spans="2:42">
      <c r="B580" t="s">
        <v>116</v>
      </c>
      <c r="C580" t="s">
        <v>117</v>
      </c>
      <c r="D580" t="s">
        <v>118</v>
      </c>
      <c r="E580" t="s">
        <v>35</v>
      </c>
      <c r="F580" t="s">
        <v>36</v>
      </c>
      <c r="G580" t="s">
        <v>37</v>
      </c>
      <c r="H580" t="s">
        <v>38</v>
      </c>
      <c r="I580" t="s">
        <v>39</v>
      </c>
      <c r="J580" t="s">
        <v>40</v>
      </c>
      <c r="K580">
        <v>2020</v>
      </c>
      <c r="L580">
        <v>0.53719567496379295</v>
      </c>
      <c r="M580" s="7">
        <v>64.383081320000002</v>
      </c>
      <c r="N580" s="7">
        <f t="shared" si="81"/>
        <v>1.560320534398486E-3</v>
      </c>
      <c r="O580" s="8">
        <v>2.0769879179999999</v>
      </c>
      <c r="P580" s="8">
        <f t="shared" si="82"/>
        <v>5.033569117398307E-5</v>
      </c>
      <c r="Q580" s="8">
        <v>0.19461630799999999</v>
      </c>
      <c r="R580" s="8">
        <f t="shared" si="83"/>
        <v>4.7165158217876409E-6</v>
      </c>
      <c r="S580" s="8">
        <v>0.247046134</v>
      </c>
      <c r="T580" s="8">
        <f t="shared" si="84"/>
        <v>5.9871498524289636E-6</v>
      </c>
      <c r="U580" s="8">
        <v>5.8740440000000001E-3</v>
      </c>
      <c r="V580" s="8">
        <f t="shared" si="85"/>
        <v>1.4235714236176324E-7</v>
      </c>
      <c r="W580" s="8">
        <v>2.7103299000000001E-2</v>
      </c>
      <c r="X580" s="8">
        <f t="shared" si="86"/>
        <v>3.4500177358915471E-12</v>
      </c>
      <c r="Y580" s="8">
        <v>3.264702E-3</v>
      </c>
      <c r="Z580" s="8">
        <f t="shared" si="87"/>
        <v>7.9119878465795148E-8</v>
      </c>
      <c r="AA580" s="8">
        <v>1.3355880000000001E-2</v>
      </c>
      <c r="AB580" s="8">
        <f t="shared" si="88"/>
        <v>3.2367903790414689E-7</v>
      </c>
      <c r="AC580" s="8">
        <v>0.77995842699999995</v>
      </c>
      <c r="AD580" s="18">
        <f t="shared" si="89"/>
        <v>1.89022507881616E-5</v>
      </c>
      <c r="AE580" s="9">
        <v>78.599999999999994</v>
      </c>
      <c r="AF580" s="10">
        <v>81.400000000000006</v>
      </c>
      <c r="AG580" s="10">
        <v>78.8</v>
      </c>
      <c r="AH580" s="10">
        <v>83.3</v>
      </c>
      <c r="AI580" s="10">
        <v>81</v>
      </c>
      <c r="AJ580" s="10">
        <v>80.7</v>
      </c>
      <c r="AK580" s="11">
        <v>41262.72769</v>
      </c>
      <c r="AL580" s="11">
        <v>46.994570400000001</v>
      </c>
      <c r="AM580" s="11">
        <v>4438.9188750000003</v>
      </c>
      <c r="AN580" s="11">
        <v>31.7</v>
      </c>
      <c r="AO580" s="11">
        <v>68.046000000000006</v>
      </c>
      <c r="AP580" s="19">
        <v>7.9434490000000002</v>
      </c>
    </row>
    <row r="581" spans="2:42">
      <c r="B581" t="s">
        <v>119</v>
      </c>
      <c r="C581" t="s">
        <v>120</v>
      </c>
      <c r="D581" t="s">
        <v>121</v>
      </c>
      <c r="E581" t="s">
        <v>35</v>
      </c>
      <c r="F581" t="s">
        <v>36</v>
      </c>
      <c r="G581" t="s">
        <v>37</v>
      </c>
      <c r="H581" t="s">
        <v>38</v>
      </c>
      <c r="I581" t="s">
        <v>39</v>
      </c>
      <c r="J581" t="s">
        <v>40</v>
      </c>
      <c r="K581">
        <v>2020</v>
      </c>
      <c r="L581">
        <v>1.0405847290302901</v>
      </c>
      <c r="M581" s="7">
        <v>11.64895398</v>
      </c>
      <c r="N581" s="7">
        <f t="shared" si="81"/>
        <v>9.5431024584484854E-5</v>
      </c>
      <c r="O581" s="8">
        <v>0.494852495</v>
      </c>
      <c r="P581" s="8">
        <f t="shared" si="82"/>
        <v>4.0539503115144653E-6</v>
      </c>
      <c r="Q581" s="8">
        <v>9.0453119999999998E-3</v>
      </c>
      <c r="R581" s="8">
        <f t="shared" si="83"/>
        <v>7.41013650949573E-8</v>
      </c>
      <c r="S581" s="8">
        <v>2.6234459000000002E-2</v>
      </c>
      <c r="T581" s="8">
        <f t="shared" si="84"/>
        <v>2.1491897951421559E-7</v>
      </c>
      <c r="U581" s="8">
        <v>2.0449969999999998E-3</v>
      </c>
      <c r="V581" s="8">
        <f t="shared" si="85"/>
        <v>1.6753105842572635E-8</v>
      </c>
      <c r="W581" s="8">
        <v>6.4234030000000003E-3</v>
      </c>
      <c r="X581" s="8">
        <f t="shared" si="86"/>
        <v>1.3724546068891125E-13</v>
      </c>
      <c r="Y581" s="8"/>
      <c r="Z581" s="8">
        <f t="shared" si="87"/>
        <v>0</v>
      </c>
      <c r="AA581" s="8">
        <v>3.5625409999999998E-3</v>
      </c>
      <c r="AB581" s="8">
        <f t="shared" si="88"/>
        <v>2.9185190218618691E-8</v>
      </c>
      <c r="AC581" s="8">
        <v>5.3386187000000002E-2</v>
      </c>
      <c r="AD581" s="18">
        <f t="shared" si="89"/>
        <v>4.3735244665022756E-7</v>
      </c>
      <c r="AE581" s="9">
        <v>96.7</v>
      </c>
      <c r="AF581" s="10">
        <v>96.7</v>
      </c>
      <c r="AG581" s="10">
        <v>93.4</v>
      </c>
      <c r="AH581" s="10">
        <v>98.6</v>
      </c>
      <c r="AI581" s="10">
        <v>95.7</v>
      </c>
      <c r="AJ581" s="10">
        <v>96.6</v>
      </c>
      <c r="AK581" s="11">
        <v>122066.73910000001</v>
      </c>
      <c r="AL581" s="11">
        <v>51.321869399999997</v>
      </c>
      <c r="AM581" s="11">
        <v>11980.920630000001</v>
      </c>
      <c r="AN581" s="11">
        <v>20.8</v>
      </c>
      <c r="AO581" s="11">
        <v>91.453000000000003</v>
      </c>
      <c r="AP581" s="19">
        <v>13.355202</v>
      </c>
    </row>
    <row r="582" spans="2:42">
      <c r="B582" t="s">
        <v>122</v>
      </c>
      <c r="C582" t="s">
        <v>123</v>
      </c>
      <c r="D582" t="s">
        <v>124</v>
      </c>
      <c r="E582" t="s">
        <v>35</v>
      </c>
      <c r="F582" t="s">
        <v>36</v>
      </c>
      <c r="G582" t="s">
        <v>37</v>
      </c>
      <c r="H582" t="s">
        <v>38</v>
      </c>
      <c r="I582" t="s">
        <v>39</v>
      </c>
      <c r="J582" t="s">
        <v>40</v>
      </c>
      <c r="K582">
        <v>2020</v>
      </c>
      <c r="L582">
        <v>1.4252646102109301</v>
      </c>
      <c r="M582" s="7">
        <v>0.116068937</v>
      </c>
      <c r="N582" s="7">
        <f t="shared" si="81"/>
        <v>2.3219647063693699E-6</v>
      </c>
      <c r="O582" s="8">
        <v>5.2679031000000001E-2</v>
      </c>
      <c r="P582" s="8">
        <f t="shared" si="82"/>
        <v>1.0538465666118569E-6</v>
      </c>
      <c r="Q582" s="8">
        <v>9.921489999999999E-4</v>
      </c>
      <c r="R582" s="8">
        <f t="shared" si="83"/>
        <v>1.9847988798757273E-8</v>
      </c>
      <c r="S582" s="8"/>
      <c r="T582" s="8">
        <f t="shared" si="84"/>
        <v>0</v>
      </c>
      <c r="U582" s="14">
        <v>6.1215099999999996E-5</v>
      </c>
      <c r="V582" s="8">
        <f t="shared" si="85"/>
        <v>1.2246110403929313E-9</v>
      </c>
      <c r="W582" s="8">
        <v>4.5744900000000002E-4</v>
      </c>
      <c r="X582" s="8">
        <f t="shared" si="86"/>
        <v>2.4498403175887286E-14</v>
      </c>
      <c r="Y582" s="8"/>
      <c r="Z582" s="8">
        <f t="shared" si="87"/>
        <v>0</v>
      </c>
      <c r="AA582" s="8">
        <v>1.0484279999999999E-3</v>
      </c>
      <c r="AB582" s="8">
        <f t="shared" si="88"/>
        <v>2.0973852919575075E-8</v>
      </c>
      <c r="AC582" s="8">
        <v>9.7302120000000006E-2</v>
      </c>
      <c r="AD582" s="18">
        <f t="shared" si="89"/>
        <v>1.946533623332117E-6</v>
      </c>
      <c r="AE582" s="9">
        <v>62.9</v>
      </c>
      <c r="AF582" s="10">
        <v>81</v>
      </c>
      <c r="AG582" s="10">
        <v>82.1</v>
      </c>
      <c r="AH582" s="10">
        <v>85.7</v>
      </c>
      <c r="AI582" s="10">
        <v>78.099999999999994</v>
      </c>
      <c r="AJ582" s="10">
        <v>85</v>
      </c>
      <c r="AK582" s="11">
        <v>49987.382100000003</v>
      </c>
      <c r="AL582" s="11">
        <v>28.46875</v>
      </c>
      <c r="AM582" s="11">
        <v>4713.9614739999997</v>
      </c>
      <c r="AN582" s="11">
        <v>9.1999999999999993</v>
      </c>
      <c r="AO582" s="11">
        <v>94.744</v>
      </c>
      <c r="AP582" s="19">
        <v>191.86052799999999</v>
      </c>
    </row>
    <row r="583" spans="2:42">
      <c r="B583" t="s">
        <v>125</v>
      </c>
      <c r="C583" t="s">
        <v>126</v>
      </c>
      <c r="D583" t="s">
        <v>127</v>
      </c>
      <c r="E583" t="s">
        <v>35</v>
      </c>
      <c r="F583" t="s">
        <v>36</v>
      </c>
      <c r="G583" t="s">
        <v>37</v>
      </c>
      <c r="H583" t="s">
        <v>38</v>
      </c>
      <c r="I583" t="s">
        <v>39</v>
      </c>
      <c r="J583" t="s">
        <v>40</v>
      </c>
      <c r="K583">
        <v>2020</v>
      </c>
      <c r="L583">
        <v>7.5318343845987401E-2</v>
      </c>
      <c r="M583" s="7">
        <v>294.66641900000002</v>
      </c>
      <c r="N583" s="7">
        <f t="shared" si="81"/>
        <v>1.3817092677689354E-2</v>
      </c>
      <c r="O583" s="8">
        <v>2.7240475E-2</v>
      </c>
      <c r="P583" s="8">
        <f t="shared" si="82"/>
        <v>1.277322909534798E-6</v>
      </c>
      <c r="Q583" s="8">
        <v>1.7395850000000001E-3</v>
      </c>
      <c r="R583" s="8">
        <f t="shared" si="83"/>
        <v>8.1570228624247256E-8</v>
      </c>
      <c r="S583" s="8">
        <v>1.0881E-3</v>
      </c>
      <c r="T583" s="8">
        <f t="shared" si="84"/>
        <v>5.1021689521376323E-8</v>
      </c>
      <c r="U583" s="8">
        <v>1.005269E-3</v>
      </c>
      <c r="V583" s="8">
        <f t="shared" si="85"/>
        <v>4.7137692127069622E-8</v>
      </c>
      <c r="W583" s="8">
        <v>5.8545689999999996E-3</v>
      </c>
      <c r="X583" s="8">
        <f t="shared" si="86"/>
        <v>2.2103158647749024E-12</v>
      </c>
      <c r="Y583" s="8"/>
      <c r="Z583" s="8">
        <f t="shared" si="87"/>
        <v>0</v>
      </c>
      <c r="AA583" s="8">
        <v>7.0546280000000003E-3</v>
      </c>
      <c r="AB583" s="8">
        <f t="shared" si="88"/>
        <v>3.3079591903759581E-7</v>
      </c>
      <c r="AC583" s="8">
        <v>0.49426983600000002</v>
      </c>
      <c r="AD583" s="18">
        <f t="shared" si="89"/>
        <v>2.3176621737132244E-5</v>
      </c>
      <c r="AE583" s="9">
        <v>65.2</v>
      </c>
      <c r="AF583" s="10">
        <v>77.099999999999994</v>
      </c>
      <c r="AG583" s="10">
        <v>75.5</v>
      </c>
      <c r="AH583" s="10">
        <v>84.8</v>
      </c>
      <c r="AI583" s="10">
        <v>78.599999999999994</v>
      </c>
      <c r="AJ583" s="10">
        <v>70.5</v>
      </c>
      <c r="AK583" s="11">
        <v>21326.224399999999</v>
      </c>
      <c r="AL583" s="11">
        <v>43.064596899999998</v>
      </c>
      <c r="AM583" s="11">
        <v>2164.2730649999999</v>
      </c>
      <c r="AN583" s="11">
        <v>9.4</v>
      </c>
      <c r="AO583" s="11">
        <v>40.76</v>
      </c>
      <c r="AP583" s="19">
        <v>1.9693722300000001</v>
      </c>
    </row>
    <row r="584" spans="2:42">
      <c r="B584" t="s">
        <v>128</v>
      </c>
      <c r="C584" t="s">
        <v>129</v>
      </c>
      <c r="D584" t="s">
        <v>130</v>
      </c>
      <c r="E584" t="s">
        <v>35</v>
      </c>
      <c r="F584" t="s">
        <v>36</v>
      </c>
      <c r="G584" t="s">
        <v>37</v>
      </c>
      <c r="H584" t="s">
        <v>38</v>
      </c>
      <c r="I584" t="s">
        <v>39</v>
      </c>
      <c r="J584" t="s">
        <v>40</v>
      </c>
      <c r="K584">
        <v>2020</v>
      </c>
      <c r="L584">
        <v>0.127019136141303</v>
      </c>
      <c r="M584" s="7">
        <v>294.66641900000002</v>
      </c>
      <c r="N584" s="7">
        <f t="shared" si="81"/>
        <v>2.1782864345689039E-2</v>
      </c>
      <c r="O584" s="8">
        <v>1.0026366579999999</v>
      </c>
      <c r="P584" s="8">
        <f t="shared" si="82"/>
        <v>7.411872171707835E-5</v>
      </c>
      <c r="Q584" s="8">
        <v>0.22481941</v>
      </c>
      <c r="R584" s="8">
        <f t="shared" si="83"/>
        <v>1.6619507329431542E-5</v>
      </c>
      <c r="S584" s="8">
        <v>9.0596108999999994E-2</v>
      </c>
      <c r="T584" s="8">
        <f t="shared" si="84"/>
        <v>6.6972095405084403E-6</v>
      </c>
      <c r="U584" s="8">
        <v>6.85602E-4</v>
      </c>
      <c r="V584" s="8">
        <f t="shared" si="85"/>
        <v>5.0682311923480821E-8</v>
      </c>
      <c r="W584" s="8">
        <v>2.5937930000000001E-3</v>
      </c>
      <c r="X584" s="8">
        <f t="shared" si="86"/>
        <v>3.7466295925464132E-12</v>
      </c>
      <c r="Y584" s="8"/>
      <c r="Z584" s="8">
        <f t="shared" si="87"/>
        <v>0</v>
      </c>
      <c r="AA584" s="8">
        <v>7.7071079999999998E-3</v>
      </c>
      <c r="AB584" s="8">
        <f t="shared" si="88"/>
        <v>5.6973878676543298E-7</v>
      </c>
      <c r="AC584" s="8">
        <v>0.92846145499999999</v>
      </c>
      <c r="AD584" s="18">
        <f t="shared" si="89"/>
        <v>6.8635408110301381E-5</v>
      </c>
      <c r="AE584" s="9">
        <v>30</v>
      </c>
      <c r="AF584" s="10">
        <v>33.799999999999997</v>
      </c>
      <c r="AG584" s="10">
        <v>34.9</v>
      </c>
      <c r="AH584" s="10">
        <v>51.4</v>
      </c>
      <c r="AI584" s="10">
        <v>32.4</v>
      </c>
      <c r="AJ584" s="10">
        <v>44</v>
      </c>
      <c r="AK584" s="11">
        <v>13527.44131</v>
      </c>
      <c r="AL584" s="11">
        <v>68.865061499999996</v>
      </c>
      <c r="AM584" s="11">
        <v>2198.3735150000002</v>
      </c>
      <c r="AN584" s="11">
        <v>22.3</v>
      </c>
      <c r="AO584" s="11">
        <v>42.848999999999997</v>
      </c>
      <c r="AP584" s="19">
        <v>1.3504763399999999</v>
      </c>
    </row>
    <row r="585" spans="2:42">
      <c r="B585" t="s">
        <v>131</v>
      </c>
      <c r="C585" t="s">
        <v>132</v>
      </c>
      <c r="D585" t="s">
        <v>133</v>
      </c>
      <c r="E585" t="s">
        <v>35</v>
      </c>
      <c r="F585" t="s">
        <v>36</v>
      </c>
      <c r="G585" t="s">
        <v>37</v>
      </c>
      <c r="H585" t="s">
        <v>38</v>
      </c>
      <c r="I585" t="s">
        <v>39</v>
      </c>
      <c r="J585" t="s">
        <v>40</v>
      </c>
      <c r="K585">
        <v>2020</v>
      </c>
      <c r="L585">
        <v>1.4861963767843001</v>
      </c>
      <c r="M585" s="7">
        <v>11.25584267</v>
      </c>
      <c r="N585" s="7">
        <f t="shared" si="81"/>
        <v>1.7981547303803585E-4</v>
      </c>
      <c r="O585" s="8">
        <v>12.47309224</v>
      </c>
      <c r="P585" s="8">
        <f t="shared" si="82"/>
        <v>1.9926140113529626E-4</v>
      </c>
      <c r="Q585" s="8">
        <v>0.30572278600000002</v>
      </c>
      <c r="R585" s="8">
        <f t="shared" si="83"/>
        <v>4.8840134848025734E-6</v>
      </c>
      <c r="S585" s="8">
        <v>1.8087091550000001</v>
      </c>
      <c r="T585" s="8">
        <f t="shared" si="84"/>
        <v>2.8894672911641818E-5</v>
      </c>
      <c r="U585" s="8">
        <v>1.7607125000000001E-2</v>
      </c>
      <c r="V585" s="8">
        <f t="shared" si="85"/>
        <v>2.8127911907948046E-7</v>
      </c>
      <c r="W585" s="8">
        <v>0.16526828900000001</v>
      </c>
      <c r="X585" s="8">
        <f t="shared" si="86"/>
        <v>4.4935185517299691E-12</v>
      </c>
      <c r="Y585" s="8">
        <v>9.4501580000000002E-2</v>
      </c>
      <c r="Z585" s="8">
        <f t="shared" si="87"/>
        <v>1.5096911718420267E-6</v>
      </c>
      <c r="AA585" s="8">
        <v>6.0244744000000003E-2</v>
      </c>
      <c r="AB585" s="8">
        <f t="shared" si="88"/>
        <v>9.6242791037655581E-7</v>
      </c>
      <c r="AC585" s="8">
        <v>4.6078743510000004</v>
      </c>
      <c r="AD585" s="18">
        <f t="shared" si="89"/>
        <v>7.361217906263588E-5</v>
      </c>
      <c r="AE585" s="9">
        <v>96.2</v>
      </c>
      <c r="AF585" s="10">
        <v>97.1</v>
      </c>
      <c r="AG585" s="10">
        <v>73.599999999999994</v>
      </c>
      <c r="AH585" s="10">
        <v>96.7</v>
      </c>
      <c r="AI585" s="10">
        <v>94.8</v>
      </c>
      <c r="AJ585" s="10">
        <v>98.1</v>
      </c>
      <c r="AK585" s="11">
        <v>62596.6302</v>
      </c>
      <c r="AL585" s="11">
        <v>53.889218900000003</v>
      </c>
      <c r="AM585" s="11">
        <v>6643.5799669999997</v>
      </c>
      <c r="AN585" s="11">
        <v>10.7</v>
      </c>
      <c r="AO585" s="11">
        <v>92.236000000000004</v>
      </c>
      <c r="AP585" s="19">
        <v>-23.709510999999999</v>
      </c>
    </row>
    <row r="586" spans="2:42">
      <c r="B586" t="s">
        <v>134</v>
      </c>
      <c r="C586" t="s">
        <v>135</v>
      </c>
      <c r="D586" t="s">
        <v>136</v>
      </c>
      <c r="E586" t="s">
        <v>35</v>
      </c>
      <c r="F586" t="s">
        <v>36</v>
      </c>
      <c r="G586" t="s">
        <v>37</v>
      </c>
      <c r="H586" t="s">
        <v>38</v>
      </c>
      <c r="I586" t="s">
        <v>39</v>
      </c>
      <c r="J586" t="s">
        <v>40</v>
      </c>
      <c r="K586">
        <v>2020</v>
      </c>
      <c r="L586">
        <v>1.0772639799624599</v>
      </c>
      <c r="M586" s="7">
        <v>84.778055170000002</v>
      </c>
      <c r="N586" s="7">
        <f t="shared" si="81"/>
        <v>1.2632587012619131E-3</v>
      </c>
      <c r="O586" s="8">
        <v>2.7569152090000002</v>
      </c>
      <c r="P586" s="8">
        <f t="shared" si="82"/>
        <v>4.1080172450605601E-5</v>
      </c>
      <c r="Q586" s="8">
        <v>0.18547350900000001</v>
      </c>
      <c r="R586" s="8">
        <f t="shared" si="83"/>
        <v>2.7636989740800368E-6</v>
      </c>
      <c r="S586" s="8">
        <v>4.2019962480000004</v>
      </c>
      <c r="T586" s="8">
        <f t="shared" si="84"/>
        <v>6.2612999464445155E-5</v>
      </c>
      <c r="U586" s="8">
        <v>3.4125073999999998E-2</v>
      </c>
      <c r="V586" s="8">
        <f t="shared" si="85"/>
        <v>5.0849003996686837E-7</v>
      </c>
      <c r="W586" s="8">
        <v>2.0131934000000001E-2</v>
      </c>
      <c r="X586" s="8">
        <f t="shared" si="86"/>
        <v>7.5768955327542269E-12</v>
      </c>
      <c r="Y586" s="8">
        <v>0.119413862</v>
      </c>
      <c r="Z586" s="8">
        <f t="shared" si="87"/>
        <v>1.7793590560705629E-6</v>
      </c>
      <c r="AA586" s="8">
        <v>3.3702968E-2</v>
      </c>
      <c r="AB586" s="8">
        <f t="shared" si="88"/>
        <v>5.0220033355303753E-7</v>
      </c>
      <c r="AC586" s="8">
        <v>0.72053400899999998</v>
      </c>
      <c r="AD586" s="18">
        <f t="shared" si="89"/>
        <v>1.0736514945986576E-5</v>
      </c>
      <c r="AE586" s="9">
        <v>97.6</v>
      </c>
      <c r="AF586" s="10">
        <v>98.1</v>
      </c>
      <c r="AG586" s="10">
        <v>94.3</v>
      </c>
      <c r="AH586" s="10">
        <v>95.7</v>
      </c>
      <c r="AI586" s="10">
        <v>99.5</v>
      </c>
      <c r="AJ586" s="10">
        <v>100</v>
      </c>
      <c r="AK586" s="11">
        <v>67110.604569999996</v>
      </c>
      <c r="AL586" s="11">
        <v>2.7065676600000002</v>
      </c>
      <c r="AM586" s="11">
        <v>23863.29521</v>
      </c>
      <c r="AN586" s="11">
        <v>60.9</v>
      </c>
      <c r="AO586" s="11">
        <v>82.974000000000004</v>
      </c>
      <c r="AP586" s="19">
        <v>-0.89255240000000002</v>
      </c>
    </row>
    <row r="587" spans="2:42">
      <c r="B587" t="s">
        <v>137</v>
      </c>
      <c r="C587" t="s">
        <v>138</v>
      </c>
      <c r="D587" t="s">
        <v>139</v>
      </c>
      <c r="E587" t="s">
        <v>35</v>
      </c>
      <c r="F587" t="s">
        <v>36</v>
      </c>
      <c r="G587" t="s">
        <v>37</v>
      </c>
      <c r="H587" t="s">
        <v>38</v>
      </c>
      <c r="I587" t="s">
        <v>39</v>
      </c>
      <c r="J587" t="s">
        <v>40</v>
      </c>
      <c r="K587">
        <v>2020</v>
      </c>
      <c r="L587">
        <v>0.56088592879654697</v>
      </c>
      <c r="M587" s="7">
        <v>1.210692224</v>
      </c>
      <c r="N587" s="7">
        <f t="shared" si="81"/>
        <v>3.264262765713211E-5</v>
      </c>
      <c r="O587" s="8">
        <v>20.154824300000001</v>
      </c>
      <c r="P587" s="8">
        <f t="shared" si="82"/>
        <v>5.4341343908707418E-4</v>
      </c>
      <c r="Q587" s="8">
        <v>4.0956934189999998</v>
      </c>
      <c r="R587" s="8">
        <f t="shared" si="83"/>
        <v>1.104278962265668E-4</v>
      </c>
      <c r="S587" s="8">
        <v>16.00303212</v>
      </c>
      <c r="T587" s="8">
        <f t="shared" si="84"/>
        <v>4.3147301066524861E-4</v>
      </c>
      <c r="U587" s="8">
        <v>0.13497999199999999</v>
      </c>
      <c r="V587" s="8">
        <f t="shared" si="85"/>
        <v>3.6393242912400756E-6</v>
      </c>
      <c r="W587" s="8">
        <v>0.118532632</v>
      </c>
      <c r="X587" s="8">
        <f t="shared" si="86"/>
        <v>9.8123292945595078E-11</v>
      </c>
      <c r="Y587" s="8">
        <v>1.8499009E-2</v>
      </c>
      <c r="Z587" s="8">
        <f t="shared" si="87"/>
        <v>4.9876942367553846E-7</v>
      </c>
      <c r="AA587" s="8">
        <v>0.20355183700000001</v>
      </c>
      <c r="AB587" s="8">
        <f t="shared" si="88"/>
        <v>5.4881551994805311E-6</v>
      </c>
      <c r="AC587" s="8">
        <v>9.0694294069999994</v>
      </c>
      <c r="AD587" s="18">
        <f t="shared" si="89"/>
        <v>2.4452953552243635E-4</v>
      </c>
      <c r="AE587" s="9">
        <v>72.400000000000006</v>
      </c>
      <c r="AF587" s="10">
        <v>64.3</v>
      </c>
      <c r="AG587" s="10">
        <v>62.3</v>
      </c>
      <c r="AH587" s="10">
        <v>76.2</v>
      </c>
      <c r="AI587" s="10">
        <v>67.599999999999994</v>
      </c>
      <c r="AJ587" s="10">
        <v>66.2</v>
      </c>
      <c r="AK587" s="11">
        <v>37089.300430000003</v>
      </c>
      <c r="AL587" s="11">
        <v>48.126612899999998</v>
      </c>
      <c r="AM587" s="11">
        <v>4299.9009379999998</v>
      </c>
      <c r="AN587" s="11">
        <v>16.100000000000001</v>
      </c>
      <c r="AO587" s="11">
        <v>60.042999999999999</v>
      </c>
      <c r="AP587" s="19">
        <v>3.3149908799999999</v>
      </c>
    </row>
    <row r="588" spans="2:42">
      <c r="B588" t="s">
        <v>140</v>
      </c>
      <c r="C588" t="s">
        <v>141</v>
      </c>
      <c r="D588" t="s">
        <v>142</v>
      </c>
      <c r="E588" t="s">
        <v>35</v>
      </c>
      <c r="F588" t="s">
        <v>36</v>
      </c>
      <c r="G588" t="s">
        <v>37</v>
      </c>
      <c r="H588" t="s">
        <v>38</v>
      </c>
      <c r="I588" t="s">
        <v>39</v>
      </c>
      <c r="J588" t="s">
        <v>40</v>
      </c>
      <c r="K588">
        <v>2020</v>
      </c>
      <c r="L588">
        <v>0.69401336915099598</v>
      </c>
      <c r="M588" s="7">
        <v>57.452881349999998</v>
      </c>
      <c r="N588" s="7">
        <f t="shared" si="81"/>
        <v>1.5973903889821145E-3</v>
      </c>
      <c r="O588" s="8">
        <v>5.3308415509999998</v>
      </c>
      <c r="P588" s="8">
        <f t="shared" si="82"/>
        <v>1.4821597905383224E-4</v>
      </c>
      <c r="Q588" s="8">
        <v>0.28851023999999997</v>
      </c>
      <c r="R588" s="8">
        <f t="shared" si="83"/>
        <v>8.0215904523807346E-6</v>
      </c>
      <c r="S588" s="8">
        <v>0.732903678</v>
      </c>
      <c r="T588" s="8">
        <f t="shared" si="84"/>
        <v>2.0377277236189346E-5</v>
      </c>
      <c r="U588" s="8">
        <v>4.5723821999999997E-2</v>
      </c>
      <c r="V588" s="8">
        <f t="shared" si="85"/>
        <v>1.2712816501818314E-6</v>
      </c>
      <c r="W588" s="8">
        <v>5.141109E-2</v>
      </c>
      <c r="X588" s="8">
        <f t="shared" si="86"/>
        <v>3.5346061711311893E-11</v>
      </c>
      <c r="Y588" s="8">
        <v>3.1033609999999998E-3</v>
      </c>
      <c r="Z588" s="8">
        <f t="shared" si="87"/>
        <v>8.6284254478769043E-8</v>
      </c>
      <c r="AA588" s="8">
        <v>2.0888911999999999E-2</v>
      </c>
      <c r="AB588" s="8">
        <f t="shared" si="88"/>
        <v>5.8078457478605045E-7</v>
      </c>
      <c r="AC588" s="8">
        <v>3.6162971179999999</v>
      </c>
      <c r="AD588" s="18">
        <f t="shared" si="89"/>
        <v>1.0054566671436261E-4</v>
      </c>
      <c r="AE588" s="9">
        <v>76.7</v>
      </c>
      <c r="AF588" s="10">
        <v>80.5</v>
      </c>
      <c r="AG588" s="10">
        <v>83.5</v>
      </c>
      <c r="AH588" s="10">
        <v>75.2</v>
      </c>
      <c r="AI588" s="10">
        <v>85.2</v>
      </c>
      <c r="AJ588" s="10">
        <v>89.4</v>
      </c>
      <c r="AK588" s="11">
        <v>35966.712800000001</v>
      </c>
      <c r="AL588" s="11">
        <v>43.1660903</v>
      </c>
      <c r="AM588" s="11">
        <v>4858.9498320000002</v>
      </c>
      <c r="AN588" s="11">
        <v>31.3</v>
      </c>
      <c r="AO588" s="11">
        <v>66.31</v>
      </c>
      <c r="AP588" s="19">
        <v>1.8141455399999999</v>
      </c>
    </row>
    <row r="589" spans="2:42">
      <c r="B589" t="s">
        <v>143</v>
      </c>
      <c r="C589" t="s">
        <v>144</v>
      </c>
      <c r="D589" t="s">
        <v>145</v>
      </c>
      <c r="E589" t="s">
        <v>35</v>
      </c>
      <c r="F589" t="s">
        <v>36</v>
      </c>
      <c r="G589" t="s">
        <v>37</v>
      </c>
      <c r="H589" t="s">
        <v>38</v>
      </c>
      <c r="I589" t="s">
        <v>39</v>
      </c>
      <c r="J589" t="s">
        <v>40</v>
      </c>
      <c r="K589">
        <v>2020</v>
      </c>
      <c r="L589">
        <v>0.67797932263639504</v>
      </c>
      <c r="M589" s="7">
        <v>11.21588086</v>
      </c>
      <c r="N589" s="7">
        <f t="shared" si="81"/>
        <v>3.2617798268255645E-4</v>
      </c>
      <c r="O589" s="8">
        <v>8.9779196750000008</v>
      </c>
      <c r="P589" s="8">
        <f t="shared" si="82"/>
        <v>2.6109404734507254E-4</v>
      </c>
      <c r="Q589" s="8">
        <v>1.1585646359999999</v>
      </c>
      <c r="R589" s="8">
        <f t="shared" si="83"/>
        <v>3.3693142829784862E-5</v>
      </c>
      <c r="S589" s="8">
        <v>2.8657255689999999</v>
      </c>
      <c r="T589" s="8">
        <f t="shared" si="84"/>
        <v>8.334045240725223E-5</v>
      </c>
      <c r="U589" s="8">
        <v>2.6540841999999999E-2</v>
      </c>
      <c r="V589" s="8">
        <f t="shared" si="85"/>
        <v>7.7185540844417158E-7</v>
      </c>
      <c r="W589" s="8">
        <v>1.5476857E-2</v>
      </c>
      <c r="X589" s="8">
        <f t="shared" si="86"/>
        <v>2.244694315065509E-11</v>
      </c>
      <c r="Y589" s="8">
        <v>4.6211337999999998E-2</v>
      </c>
      <c r="Z589" s="8">
        <f t="shared" si="87"/>
        <v>1.3439088016401915E-6</v>
      </c>
      <c r="AA589" s="8">
        <v>2.3788090000000001E-2</v>
      </c>
      <c r="AB589" s="8">
        <f t="shared" si="88"/>
        <v>6.9180043056119751E-7</v>
      </c>
      <c r="AC589" s="8">
        <v>8.4667770129999997</v>
      </c>
      <c r="AD589" s="18">
        <f t="shared" si="89"/>
        <v>2.462290996485657E-4</v>
      </c>
      <c r="AE589" s="9">
        <v>51.4</v>
      </c>
      <c r="AF589" s="10">
        <v>41.4</v>
      </c>
      <c r="AG589" s="10">
        <v>62.7</v>
      </c>
      <c r="AH589" s="10">
        <v>62.9</v>
      </c>
      <c r="AI589" s="10">
        <v>62.9</v>
      </c>
      <c r="AJ589" s="10">
        <v>65.7</v>
      </c>
      <c r="AK589" s="11">
        <v>34385.769289999997</v>
      </c>
      <c r="AL589" s="11">
        <v>56.715055599999999</v>
      </c>
      <c r="AM589" s="11">
        <v>2726.411544</v>
      </c>
      <c r="AN589" s="11">
        <v>24.1</v>
      </c>
      <c r="AO589" s="11">
        <v>54.194000000000003</v>
      </c>
      <c r="AP589" s="19">
        <v>1.42933935</v>
      </c>
    </row>
    <row r="590" spans="2:42">
      <c r="B590" t="s">
        <v>146</v>
      </c>
      <c r="C590" t="s">
        <v>147</v>
      </c>
      <c r="D590" t="s">
        <v>148</v>
      </c>
      <c r="E590" t="s">
        <v>35</v>
      </c>
      <c r="F590" t="s">
        <v>36</v>
      </c>
      <c r="G590" t="s">
        <v>37</v>
      </c>
      <c r="H590" t="s">
        <v>38</v>
      </c>
      <c r="I590" t="s">
        <v>39</v>
      </c>
      <c r="J590" t="s">
        <v>40</v>
      </c>
      <c r="K590">
        <v>2020</v>
      </c>
      <c r="L590">
        <v>0.93771238486826003</v>
      </c>
      <c r="M590" s="7">
        <v>1.219666385</v>
      </c>
      <c r="N590" s="7">
        <f t="shared" si="81"/>
        <v>3.4524125937301369E-5</v>
      </c>
      <c r="O590" s="8">
        <v>1.586618783</v>
      </c>
      <c r="P590" s="8">
        <f t="shared" si="82"/>
        <v>4.4911155503215601E-5</v>
      </c>
      <c r="Q590" s="8">
        <v>0.24373062400000001</v>
      </c>
      <c r="R590" s="8">
        <f t="shared" si="83"/>
        <v>6.8990888502293576E-6</v>
      </c>
      <c r="S590" s="8">
        <v>0.69898895900000002</v>
      </c>
      <c r="T590" s="8">
        <f t="shared" si="84"/>
        <v>1.9785724314521614E-5</v>
      </c>
      <c r="U590" s="8">
        <v>2.3569231E-2</v>
      </c>
      <c r="V590" s="8">
        <f t="shared" si="85"/>
        <v>6.6715546914851418E-7</v>
      </c>
      <c r="W590" s="8">
        <v>2.0259066999999999E-2</v>
      </c>
      <c r="X590" s="8">
        <f t="shared" si="86"/>
        <v>1.8884639045490032E-11</v>
      </c>
      <c r="Y590" s="8">
        <v>1.1508429000000001E-2</v>
      </c>
      <c r="Z590" s="8">
        <f t="shared" si="87"/>
        <v>3.2575994306548939E-7</v>
      </c>
      <c r="AA590" s="8">
        <v>5.5975529999999999E-3</v>
      </c>
      <c r="AB590" s="8">
        <f t="shared" si="88"/>
        <v>1.5844547909936787E-7</v>
      </c>
      <c r="AC590" s="8">
        <v>3.41797269</v>
      </c>
      <c r="AD590" s="18">
        <f t="shared" si="89"/>
        <v>9.6749833438933974E-5</v>
      </c>
      <c r="AE590" s="9">
        <v>64.3</v>
      </c>
      <c r="AF590" s="10">
        <v>69</v>
      </c>
      <c r="AG590" s="10">
        <v>67.5</v>
      </c>
      <c r="AH590" s="10">
        <v>74.3</v>
      </c>
      <c r="AI590" s="10">
        <v>73.8</v>
      </c>
      <c r="AJ590" s="10">
        <v>74.900000000000006</v>
      </c>
      <c r="AK590" s="11">
        <v>35327.943919999998</v>
      </c>
      <c r="AL590" s="11">
        <v>39.1638935</v>
      </c>
      <c r="AM590" s="11">
        <v>5050.1692030000004</v>
      </c>
      <c r="AN590" s="11">
        <v>17.600000000000001</v>
      </c>
      <c r="AO590" s="11">
        <v>53.76</v>
      </c>
      <c r="AP590" s="19">
        <v>-1.0597567000000001</v>
      </c>
    </row>
    <row r="591" spans="2:42">
      <c r="B591" t="s">
        <v>149</v>
      </c>
      <c r="C591" t="s">
        <v>150</v>
      </c>
      <c r="D591" t="s">
        <v>151</v>
      </c>
      <c r="E591" t="s">
        <v>35</v>
      </c>
      <c r="F591" t="s">
        <v>36</v>
      </c>
      <c r="G591" t="s">
        <v>37</v>
      </c>
      <c r="H591" t="s">
        <v>38</v>
      </c>
      <c r="I591" t="s">
        <v>39</v>
      </c>
      <c r="J591" t="s">
        <v>40</v>
      </c>
      <c r="K591">
        <v>2020</v>
      </c>
      <c r="L591">
        <v>0.63585322177938997</v>
      </c>
      <c r="M591" s="7">
        <v>81.980662749999993</v>
      </c>
      <c r="N591" s="7">
        <f t="shared" si="81"/>
        <v>1.962797336842844E-3</v>
      </c>
      <c r="O591" s="8">
        <v>1.6203069459999999</v>
      </c>
      <c r="P591" s="8">
        <f t="shared" si="82"/>
        <v>3.8793711245970159E-5</v>
      </c>
      <c r="Q591" s="8">
        <v>0.144940242</v>
      </c>
      <c r="R591" s="8">
        <f t="shared" si="83"/>
        <v>3.4701881084628992E-6</v>
      </c>
      <c r="S591" s="8">
        <v>1.021556186</v>
      </c>
      <c r="T591" s="8">
        <f t="shared" si="84"/>
        <v>2.4458301434213926E-5</v>
      </c>
      <c r="U591" s="8">
        <v>5.4148240000000004E-3</v>
      </c>
      <c r="V591" s="8">
        <f t="shared" si="85"/>
        <v>1.2964279343634263E-7</v>
      </c>
      <c r="W591" s="8">
        <v>4.4829809999999996E-3</v>
      </c>
      <c r="X591" s="8">
        <f t="shared" si="86"/>
        <v>3.1039335516681984E-12</v>
      </c>
      <c r="Y591" s="8">
        <v>6.7008190000000002E-3</v>
      </c>
      <c r="Z591" s="8">
        <f t="shared" si="87"/>
        <v>1.6043234156296121E-7</v>
      </c>
      <c r="AA591" s="8">
        <v>4.7548099999999999E-3</v>
      </c>
      <c r="AB591" s="8">
        <f t="shared" si="88"/>
        <v>1.1384060694476056E-7</v>
      </c>
      <c r="AC591" s="8">
        <v>0.46913775299999999</v>
      </c>
      <c r="AD591" s="18">
        <f t="shared" si="89"/>
        <v>1.1232189412872684E-5</v>
      </c>
      <c r="AE591" s="9">
        <v>78.099999999999994</v>
      </c>
      <c r="AF591" s="10">
        <v>84.8</v>
      </c>
      <c r="AG591" s="10">
        <v>69.8</v>
      </c>
      <c r="AH591" s="10">
        <v>77.099999999999994</v>
      </c>
      <c r="AI591" s="10">
        <v>83.3</v>
      </c>
      <c r="AJ591" s="10">
        <v>77.3</v>
      </c>
      <c r="AK591" s="11">
        <v>41767.257989999998</v>
      </c>
      <c r="AL591" s="11">
        <v>30.317733100000002</v>
      </c>
      <c r="AM591" s="11">
        <v>6820.2389720000001</v>
      </c>
      <c r="AN591" s="11">
        <v>22.7</v>
      </c>
      <c r="AO591" s="11">
        <v>55.118000000000002</v>
      </c>
      <c r="AP591" s="19">
        <v>0.94834085000000001</v>
      </c>
    </row>
    <row r="592" spans="2:42">
      <c r="B592" t="s">
        <v>152</v>
      </c>
      <c r="C592" t="s">
        <v>153</v>
      </c>
      <c r="D592" t="s">
        <v>154</v>
      </c>
      <c r="E592" t="s">
        <v>35</v>
      </c>
      <c r="F592" t="s">
        <v>36</v>
      </c>
      <c r="G592" t="s">
        <v>37</v>
      </c>
      <c r="H592" t="s">
        <v>38</v>
      </c>
      <c r="I592" t="s">
        <v>39</v>
      </c>
      <c r="J592" t="s">
        <v>40</v>
      </c>
      <c r="K592">
        <v>2020</v>
      </c>
      <c r="L592">
        <v>0.94006139321964999</v>
      </c>
      <c r="M592" s="7">
        <v>1.219666385</v>
      </c>
      <c r="N592" s="7">
        <f t="shared" si="81"/>
        <v>3.1012792440890624E-5</v>
      </c>
      <c r="O592" s="8">
        <v>28.688022759999999</v>
      </c>
      <c r="P592" s="8">
        <f t="shared" si="82"/>
        <v>7.2945824066097064E-4</v>
      </c>
      <c r="Q592" s="8">
        <v>0.81982377100000003</v>
      </c>
      <c r="R592" s="8">
        <f t="shared" si="83"/>
        <v>2.0845884383483477E-5</v>
      </c>
      <c r="S592" s="8">
        <v>1.215575479</v>
      </c>
      <c r="T592" s="8">
        <f t="shared" si="84"/>
        <v>3.0908771849494891E-5</v>
      </c>
      <c r="U592" s="8">
        <v>9.2307042000000006E-2</v>
      </c>
      <c r="V592" s="8">
        <f t="shared" si="85"/>
        <v>2.3471165308688682E-6</v>
      </c>
      <c r="W592" s="8">
        <v>0.123011089</v>
      </c>
      <c r="X592" s="8">
        <f t="shared" si="86"/>
        <v>5.9680777220419539E-11</v>
      </c>
      <c r="Y592" s="8">
        <v>3.4224045000000002E-2</v>
      </c>
      <c r="Z592" s="8">
        <f t="shared" si="87"/>
        <v>8.702241999337389E-7</v>
      </c>
      <c r="AA592" s="8">
        <v>0.124855418</v>
      </c>
      <c r="AB592" s="8">
        <f t="shared" si="88"/>
        <v>3.1747330345212709E-6</v>
      </c>
      <c r="AC592" s="8">
        <v>15.18153468</v>
      </c>
      <c r="AD592" s="18">
        <f t="shared" si="89"/>
        <v>3.8602505550320866E-4</v>
      </c>
      <c r="AE592" s="9">
        <v>75.7</v>
      </c>
      <c r="AF592" s="10">
        <v>77.599999999999994</v>
      </c>
      <c r="AG592" s="10">
        <v>59</v>
      </c>
      <c r="AH592" s="10">
        <v>73.8</v>
      </c>
      <c r="AI592" s="10">
        <v>76.7</v>
      </c>
      <c r="AJ592" s="10">
        <v>80.2</v>
      </c>
      <c r="AK592" s="11">
        <v>39327.847930000004</v>
      </c>
      <c r="AL592" s="11">
        <v>52.331679200000004</v>
      </c>
      <c r="AM592" s="11">
        <v>5089.1877400000003</v>
      </c>
      <c r="AN592" s="11">
        <v>19.3</v>
      </c>
      <c r="AO592" s="11">
        <v>80.81</v>
      </c>
      <c r="AP592" s="19">
        <v>2.92165981</v>
      </c>
    </row>
    <row r="593" spans="2:42">
      <c r="B593" t="s">
        <v>155</v>
      </c>
      <c r="C593" t="s">
        <v>156</v>
      </c>
      <c r="D593" t="s">
        <v>157</v>
      </c>
      <c r="E593" t="s">
        <v>35</v>
      </c>
      <c r="F593" t="s">
        <v>36</v>
      </c>
      <c r="G593" t="s">
        <v>37</v>
      </c>
      <c r="H593" t="s">
        <v>38</v>
      </c>
      <c r="I593" t="s">
        <v>39</v>
      </c>
      <c r="J593" t="s">
        <v>40</v>
      </c>
      <c r="K593">
        <v>2020</v>
      </c>
      <c r="L593">
        <v>0.53376594559771096</v>
      </c>
      <c r="M593" s="7">
        <v>52.04275647</v>
      </c>
      <c r="N593" s="7">
        <f t="shared" si="81"/>
        <v>9.0526041371745663E-4</v>
      </c>
      <c r="O593" s="8">
        <v>3.8734620560000002</v>
      </c>
      <c r="P593" s="8">
        <f t="shared" si="82"/>
        <v>6.7377135670258829E-5</v>
      </c>
      <c r="Q593" s="8">
        <v>0.36460499800000001</v>
      </c>
      <c r="R593" s="8">
        <f t="shared" si="83"/>
        <v>6.3421404575908016E-6</v>
      </c>
      <c r="S593" s="8">
        <v>0.173314039</v>
      </c>
      <c r="T593" s="8">
        <f t="shared" si="84"/>
        <v>3.0147199973664927E-6</v>
      </c>
      <c r="U593" s="8">
        <v>0.186942417</v>
      </c>
      <c r="V593" s="8">
        <f t="shared" si="85"/>
        <v>3.2517795219458576E-6</v>
      </c>
      <c r="W593" s="8">
        <v>0.204440124</v>
      </c>
      <c r="X593" s="8">
        <f t="shared" si="86"/>
        <v>5.656324674215821E-11</v>
      </c>
      <c r="Y593" s="8">
        <v>1.4256041000000001E-2</v>
      </c>
      <c r="Z593" s="8">
        <f t="shared" si="87"/>
        <v>2.4797744103105584E-7</v>
      </c>
      <c r="AA593" s="8">
        <v>6.5442821999999998E-2</v>
      </c>
      <c r="AB593" s="8">
        <f t="shared" si="88"/>
        <v>1.1383485452525621E-6</v>
      </c>
      <c r="AC593" s="8">
        <v>3.1672393259999998</v>
      </c>
      <c r="AD593" s="18">
        <f t="shared" si="89"/>
        <v>5.5092707940051938E-5</v>
      </c>
      <c r="AE593" s="9">
        <v>98.1</v>
      </c>
      <c r="AF593" s="10">
        <v>94.8</v>
      </c>
      <c r="AG593" s="10">
        <v>81.599999999999994</v>
      </c>
      <c r="AH593" s="10">
        <v>95.2</v>
      </c>
      <c r="AI593" s="10">
        <v>96.7</v>
      </c>
      <c r="AJ593" s="10">
        <v>97.1</v>
      </c>
      <c r="AK593" s="11">
        <v>57489.265720000003</v>
      </c>
      <c r="AL593" s="11">
        <v>7.3806717700000002</v>
      </c>
      <c r="AM593" s="11">
        <v>12607.49807</v>
      </c>
      <c r="AN593" s="11">
        <v>57.8</v>
      </c>
      <c r="AO593" s="11">
        <v>87.977000000000004</v>
      </c>
      <c r="AP593" s="19">
        <v>3.3968345700000002</v>
      </c>
    </row>
    <row r="594" spans="2:42">
      <c r="B594" t="s">
        <v>158</v>
      </c>
      <c r="C594" t="s">
        <v>159</v>
      </c>
      <c r="D594" t="s">
        <v>160</v>
      </c>
      <c r="E594" t="s">
        <v>35</v>
      </c>
      <c r="F594" t="s">
        <v>36</v>
      </c>
      <c r="G594" t="s">
        <v>37</v>
      </c>
      <c r="H594" t="s">
        <v>38</v>
      </c>
      <c r="I594" t="s">
        <v>39</v>
      </c>
      <c r="J594" t="s">
        <v>40</v>
      </c>
      <c r="K594">
        <v>2020</v>
      </c>
      <c r="L594">
        <v>0.58977605899637597</v>
      </c>
      <c r="M594" s="7">
        <v>81.980662749999993</v>
      </c>
      <c r="N594" s="7">
        <f t="shared" si="81"/>
        <v>1.1230562544734593E-3</v>
      </c>
      <c r="O594" s="8">
        <v>4.0616005140000002</v>
      </c>
      <c r="P594" s="8">
        <f t="shared" si="82"/>
        <v>5.5640021773553158E-5</v>
      </c>
      <c r="Q594" s="8">
        <v>0.259372985</v>
      </c>
      <c r="R594" s="8">
        <f t="shared" si="83"/>
        <v>3.5531605048618709E-6</v>
      </c>
      <c r="S594" s="8">
        <v>0.98141516200000001</v>
      </c>
      <c r="T594" s="8">
        <f t="shared" si="84"/>
        <v>1.3444444079212856E-5</v>
      </c>
      <c r="U594" s="8">
        <v>1.8826997000000002E-2</v>
      </c>
      <c r="V594" s="8">
        <f t="shared" si="85"/>
        <v>2.579117565599707E-7</v>
      </c>
      <c r="W594" s="8">
        <v>4.7744710000000003E-2</v>
      </c>
      <c r="X594" s="8">
        <f t="shared" si="86"/>
        <v>3.5331430802187723E-12</v>
      </c>
      <c r="Y594" s="8">
        <v>2.6685580000000001E-3</v>
      </c>
      <c r="Z594" s="8">
        <f t="shared" si="87"/>
        <v>3.6556678755627482E-8</v>
      </c>
      <c r="AA594" s="8">
        <v>2.3073547999999999E-2</v>
      </c>
      <c r="AB594" s="8">
        <f t="shared" si="88"/>
        <v>3.1608542216003955E-7</v>
      </c>
      <c r="AC594" s="8">
        <v>0.22720278899999999</v>
      </c>
      <c r="AD594" s="18">
        <f t="shared" si="89"/>
        <v>3.1124597516170204E-6</v>
      </c>
      <c r="AE594" s="9">
        <v>97.1</v>
      </c>
      <c r="AF594" s="10">
        <v>99</v>
      </c>
      <c r="AG594" s="10">
        <v>91.5</v>
      </c>
      <c r="AH594" s="10">
        <v>93.8</v>
      </c>
      <c r="AI594" s="10">
        <v>97.6</v>
      </c>
      <c r="AJ594" s="10">
        <v>98.6</v>
      </c>
      <c r="AK594" s="11">
        <v>72997.823950000005</v>
      </c>
      <c r="AL594" s="11">
        <v>38.0271063</v>
      </c>
      <c r="AM594" s="11">
        <v>7154.9901730000001</v>
      </c>
      <c r="AN594" s="11">
        <v>26.4</v>
      </c>
      <c r="AO594" s="11">
        <v>73.915000000000006</v>
      </c>
      <c r="AP594" s="19">
        <v>-32.547361000000002</v>
      </c>
    </row>
    <row r="595" spans="2:42">
      <c r="B595" t="s">
        <v>161</v>
      </c>
      <c r="C595" t="s">
        <v>162</v>
      </c>
      <c r="D595" t="s">
        <v>163</v>
      </c>
      <c r="E595" t="s">
        <v>35</v>
      </c>
      <c r="F595" t="s">
        <v>36</v>
      </c>
      <c r="G595" t="s">
        <v>37</v>
      </c>
      <c r="H595" t="s">
        <v>38</v>
      </c>
      <c r="I595" t="s">
        <v>39</v>
      </c>
      <c r="J595" t="s">
        <v>40</v>
      </c>
      <c r="K595">
        <v>2020</v>
      </c>
      <c r="L595">
        <v>0.27977404621403101</v>
      </c>
      <c r="M595" s="7">
        <v>83.306805269999998</v>
      </c>
      <c r="N595" s="7">
        <f t="shared" si="81"/>
        <v>2.9046800036279939E-3</v>
      </c>
      <c r="O595" s="8">
        <v>49.241797169999998</v>
      </c>
      <c r="P595" s="8">
        <f t="shared" si="82"/>
        <v>1.7169265238156041E-3</v>
      </c>
      <c r="Q595" s="8">
        <v>1.0932027479999999</v>
      </c>
      <c r="R595" s="8">
        <f t="shared" si="83"/>
        <v>3.8116983981502919E-5</v>
      </c>
      <c r="S595" s="8">
        <v>8.0522562549999996</v>
      </c>
      <c r="T595" s="8">
        <f t="shared" si="84"/>
        <v>2.8076010899927934E-4</v>
      </c>
      <c r="U595" s="8">
        <v>0.111815423</v>
      </c>
      <c r="V595" s="8">
        <f t="shared" si="85"/>
        <v>3.898697378115238E-6</v>
      </c>
      <c r="W595" s="8">
        <v>9.0885042999999999E-2</v>
      </c>
      <c r="X595" s="8">
        <f t="shared" si="86"/>
        <v>1.3593689348313454E-10</v>
      </c>
      <c r="Y595" s="8">
        <v>2.1256112000000001E-2</v>
      </c>
      <c r="Z595" s="8">
        <f t="shared" si="87"/>
        <v>7.4114237463756547E-7</v>
      </c>
      <c r="AA595" s="8">
        <v>0.28882158200000002</v>
      </c>
      <c r="AB595" s="8">
        <f t="shared" si="88"/>
        <v>1.00704170701612E-5</v>
      </c>
      <c r="AC595" s="8">
        <v>60.576933109999999</v>
      </c>
      <c r="AD595" s="18">
        <f t="shared" si="89"/>
        <v>2.1121516509419202E-3</v>
      </c>
      <c r="AE595" s="9">
        <v>41.9</v>
      </c>
      <c r="AF595" s="10">
        <v>47.1</v>
      </c>
      <c r="AG595" s="10">
        <v>12.7</v>
      </c>
      <c r="AH595" s="10">
        <v>50.5</v>
      </c>
      <c r="AI595" s="10">
        <v>37.6</v>
      </c>
      <c r="AJ595" s="10">
        <v>24.2</v>
      </c>
      <c r="AK595" s="11">
        <v>28680.200629999999</v>
      </c>
      <c r="AL595" s="11">
        <v>49.0651352</v>
      </c>
      <c r="AM595" s="11">
        <v>3318.8470590000002</v>
      </c>
      <c r="AN595" s="11">
        <v>13.7</v>
      </c>
      <c r="AO595" s="11">
        <v>76.105000000000004</v>
      </c>
      <c r="AP595" s="19">
        <v>1.0442313000000001</v>
      </c>
    </row>
    <row r="596" spans="2:42">
      <c r="B596" t="s">
        <v>164</v>
      </c>
      <c r="C596" t="s">
        <v>165</v>
      </c>
      <c r="D596" t="s">
        <v>166</v>
      </c>
      <c r="E596" t="s">
        <v>35</v>
      </c>
      <c r="F596" t="s">
        <v>36</v>
      </c>
      <c r="G596" t="s">
        <v>37</v>
      </c>
      <c r="H596" t="s">
        <v>38</v>
      </c>
      <c r="I596" t="s">
        <v>39</v>
      </c>
      <c r="J596" t="s">
        <v>40</v>
      </c>
      <c r="K596">
        <v>2020</v>
      </c>
      <c r="L596">
        <v>0.18899619924014599</v>
      </c>
      <c r="M596" s="7">
        <v>50.201764420000003</v>
      </c>
      <c r="N596" s="7">
        <f t="shared" si="81"/>
        <v>1.9825202515095869E-2</v>
      </c>
      <c r="O596" s="8">
        <v>18.904885879999998</v>
      </c>
      <c r="P596" s="8">
        <f t="shared" si="82"/>
        <v>7.4657374183139573E-3</v>
      </c>
      <c r="Q596" s="8">
        <v>3.6929202320000001</v>
      </c>
      <c r="R596" s="8">
        <f t="shared" si="83"/>
        <v>1.4583728742874095E-3</v>
      </c>
      <c r="S596" s="8">
        <v>7.6550606400000003</v>
      </c>
      <c r="T596" s="8">
        <f t="shared" si="84"/>
        <v>3.0230636155265909E-3</v>
      </c>
      <c r="U596" s="8">
        <v>0.22081483599999999</v>
      </c>
      <c r="V596" s="8">
        <f t="shared" si="85"/>
        <v>8.7202091253462777E-5</v>
      </c>
      <c r="W596" s="8">
        <v>2.6699010000000001E-3</v>
      </c>
      <c r="X596" s="8">
        <f t="shared" si="86"/>
        <v>3.443701907319873E-8</v>
      </c>
      <c r="Y596" s="8"/>
      <c r="Z596" s="8">
        <f t="shared" si="87"/>
        <v>0</v>
      </c>
      <c r="AA596" s="8">
        <v>2.2559126999999998E-2</v>
      </c>
      <c r="AB596" s="8">
        <f t="shared" si="88"/>
        <v>8.9088355061996651E-6</v>
      </c>
      <c r="AC596" s="8">
        <v>3.436904518</v>
      </c>
      <c r="AD596" s="18">
        <f t="shared" si="89"/>
        <v>1.3572695876651808E-3</v>
      </c>
      <c r="AE596" s="9">
        <v>16.2</v>
      </c>
      <c r="AF596" s="10">
        <v>29</v>
      </c>
      <c r="AG596" s="10">
        <v>18.899999999999999</v>
      </c>
      <c r="AH596" s="10">
        <v>36.200000000000003</v>
      </c>
      <c r="AI596" s="10">
        <v>41</v>
      </c>
      <c r="AJ596" s="10">
        <v>29.5</v>
      </c>
      <c r="AK596" s="11">
        <v>2532.219501</v>
      </c>
      <c r="AL596" s="11">
        <v>71.888091000000003</v>
      </c>
      <c r="AM596" s="11">
        <v>78.884945220000006</v>
      </c>
      <c r="AN596" s="11">
        <v>91.6</v>
      </c>
      <c r="AO596" s="11">
        <v>24.954000000000001</v>
      </c>
      <c r="AP596" s="19">
        <v>3.1687987500000001</v>
      </c>
    </row>
    <row r="597" spans="2:42">
      <c r="B597" t="s">
        <v>167</v>
      </c>
      <c r="C597" t="s">
        <v>168</v>
      </c>
      <c r="D597" t="s">
        <v>169</v>
      </c>
      <c r="E597" t="s">
        <v>35</v>
      </c>
      <c r="F597" t="s">
        <v>36</v>
      </c>
      <c r="G597" t="s">
        <v>37</v>
      </c>
      <c r="H597" t="s">
        <v>38</v>
      </c>
      <c r="I597" t="s">
        <v>39</v>
      </c>
      <c r="J597" t="s">
        <v>40</v>
      </c>
      <c r="K597">
        <v>2020</v>
      </c>
      <c r="L597">
        <v>0.214510758578938</v>
      </c>
      <c r="M597" s="7">
        <v>49327.538890000003</v>
      </c>
      <c r="N597" s="7">
        <f t="shared" si="81"/>
        <v>3.1740204692285165</v>
      </c>
      <c r="O597" s="8">
        <v>12.025494800000001</v>
      </c>
      <c r="P597" s="8">
        <f t="shared" si="82"/>
        <v>7.7379020941867804E-4</v>
      </c>
      <c r="Q597" s="8">
        <v>0.81830789500000001</v>
      </c>
      <c r="R597" s="8">
        <f t="shared" si="83"/>
        <v>5.2654684732058388E-5</v>
      </c>
      <c r="S597" s="8">
        <v>42.86160624</v>
      </c>
      <c r="T597" s="8">
        <f t="shared" si="84"/>
        <v>2.7579647923069673E-3</v>
      </c>
      <c r="U597" s="8">
        <v>4.7937886999999998E-2</v>
      </c>
      <c r="V597" s="8">
        <f t="shared" si="85"/>
        <v>3.0846021920710419E-6</v>
      </c>
      <c r="W597" s="8">
        <v>8.3157145000000002E-2</v>
      </c>
      <c r="X597" s="8">
        <f t="shared" si="86"/>
        <v>1.9848122808019214E-10</v>
      </c>
      <c r="Y597" s="8">
        <v>9.921344E-2</v>
      </c>
      <c r="Z597" s="8">
        <f t="shared" si="87"/>
        <v>6.3839692080485073E-6</v>
      </c>
      <c r="AA597" s="8">
        <v>9.0496842999999993E-2</v>
      </c>
      <c r="AB597" s="8">
        <f t="shared" si="88"/>
        <v>5.8230927093909861E-6</v>
      </c>
      <c r="AC597" s="8">
        <v>9.5531828080000007</v>
      </c>
      <c r="AD597" s="18">
        <f t="shared" si="89"/>
        <v>6.147072905155832E-4</v>
      </c>
      <c r="AE597" s="9">
        <v>22.9</v>
      </c>
      <c r="AF597" s="10">
        <v>37.6</v>
      </c>
      <c r="AG597" s="10">
        <v>12.3</v>
      </c>
      <c r="AH597" s="10">
        <v>42.4</v>
      </c>
      <c r="AI597" s="10">
        <v>24.8</v>
      </c>
      <c r="AJ597" s="10">
        <v>51.7</v>
      </c>
      <c r="AK597" s="11">
        <v>15541.027340000001</v>
      </c>
      <c r="AL597" s="11">
        <v>71.299620300000001</v>
      </c>
      <c r="AM597" s="11">
        <v>2921.709022</v>
      </c>
      <c r="AN597" s="11">
        <v>8.6999999999999993</v>
      </c>
      <c r="AO597" s="11">
        <v>69.608000000000004</v>
      </c>
      <c r="AP597" s="19">
        <v>0.19410319000000001</v>
      </c>
    </row>
    <row r="598" spans="2:42">
      <c r="B598" t="s">
        <v>170</v>
      </c>
      <c r="C598" t="s">
        <v>171</v>
      </c>
      <c r="D598" t="s">
        <v>172</v>
      </c>
      <c r="E598" t="s">
        <v>35</v>
      </c>
      <c r="F598" t="s">
        <v>36</v>
      </c>
      <c r="G598" t="s">
        <v>37</v>
      </c>
      <c r="H598" t="s">
        <v>38</v>
      </c>
      <c r="I598" t="s">
        <v>39</v>
      </c>
      <c r="J598" t="s">
        <v>40</v>
      </c>
      <c r="K598">
        <v>2020</v>
      </c>
      <c r="L598">
        <v>0.70801406820465795</v>
      </c>
      <c r="M598" s="7">
        <v>287.55206020000003</v>
      </c>
      <c r="N598" s="7">
        <f t="shared" si="81"/>
        <v>5.9620936306890695E-3</v>
      </c>
      <c r="O598" s="8">
        <v>31.989723000000001</v>
      </c>
      <c r="P598" s="8">
        <f t="shared" si="82"/>
        <v>6.632737168120196E-4</v>
      </c>
      <c r="Q598" s="8">
        <v>0.77998783100000002</v>
      </c>
      <c r="R598" s="8">
        <f t="shared" si="83"/>
        <v>1.6172238432183845E-5</v>
      </c>
      <c r="S598" s="8">
        <v>3.7058100779999998</v>
      </c>
      <c r="T598" s="8">
        <f t="shared" si="84"/>
        <v>7.683612715979129E-5</v>
      </c>
      <c r="U598" s="8">
        <v>7.7214070999999995E-2</v>
      </c>
      <c r="V598" s="8">
        <f t="shared" si="85"/>
        <v>1.6009536519699522E-6</v>
      </c>
      <c r="W598" s="8">
        <v>0.354491742</v>
      </c>
      <c r="X598" s="8">
        <f t="shared" si="86"/>
        <v>3.3194112971402932E-11</v>
      </c>
      <c r="Y598" s="8">
        <v>6.3044966999999993E-2</v>
      </c>
      <c r="Z598" s="8">
        <f t="shared" si="87"/>
        <v>1.3071719810884614E-6</v>
      </c>
      <c r="AA598" s="8">
        <v>0.112847799</v>
      </c>
      <c r="AB598" s="8">
        <f t="shared" si="88"/>
        <v>2.339782031772695E-6</v>
      </c>
      <c r="AC598" s="8">
        <v>9.3299317169999991</v>
      </c>
      <c r="AD598" s="18">
        <f t="shared" si="89"/>
        <v>1.9344645427335952E-4</v>
      </c>
      <c r="AE598" s="9">
        <v>94.3</v>
      </c>
      <c r="AF598" s="10">
        <v>88.6</v>
      </c>
      <c r="AG598" s="10">
        <v>61.3</v>
      </c>
      <c r="AH598" s="10">
        <v>92.4</v>
      </c>
      <c r="AI598" s="10">
        <v>90</v>
      </c>
      <c r="AJ598" s="10">
        <v>88.9</v>
      </c>
      <c r="AK598" s="11">
        <v>48230.047700000003</v>
      </c>
      <c r="AL598" s="11">
        <v>71.340049199999996</v>
      </c>
      <c r="AM598" s="11">
        <v>4522.9533739999997</v>
      </c>
      <c r="AN598" s="11">
        <v>13.6</v>
      </c>
      <c r="AO598" s="11">
        <v>83.903000000000006</v>
      </c>
      <c r="AP598" s="19">
        <v>5.82864206</v>
      </c>
    </row>
    <row r="599" spans="2:42">
      <c r="B599" t="s">
        <v>173</v>
      </c>
      <c r="C599" t="s">
        <v>174</v>
      </c>
      <c r="D599" t="s">
        <v>175</v>
      </c>
      <c r="E599" t="s">
        <v>35</v>
      </c>
      <c r="F599" t="s">
        <v>36</v>
      </c>
      <c r="G599" t="s">
        <v>37</v>
      </c>
      <c r="H599" t="s">
        <v>38</v>
      </c>
      <c r="I599" t="s">
        <v>39</v>
      </c>
      <c r="J599" t="s">
        <v>40</v>
      </c>
      <c r="K599">
        <v>2020</v>
      </c>
      <c r="L599">
        <v>8.5866464681881305E-2</v>
      </c>
      <c r="M599" s="7">
        <v>27.344120499999999</v>
      </c>
      <c r="N599" s="7">
        <f t="shared" si="81"/>
        <v>8.6606023167149094E-3</v>
      </c>
      <c r="O599" s="8">
        <v>5.1723201469999998</v>
      </c>
      <c r="P599" s="8">
        <f t="shared" si="82"/>
        <v>1.6382098611619051E-3</v>
      </c>
      <c r="Q599" s="8">
        <v>1.806994955</v>
      </c>
      <c r="R599" s="8">
        <f t="shared" si="83"/>
        <v>5.7232283969656857E-4</v>
      </c>
      <c r="S599" s="8">
        <v>3.9939580669999999</v>
      </c>
      <c r="T599" s="8">
        <f t="shared" si="84"/>
        <v>1.2649915907122485E-3</v>
      </c>
      <c r="U599" s="8">
        <v>6.6506671000000003E-2</v>
      </c>
      <c r="V599" s="8">
        <f t="shared" si="85"/>
        <v>2.1064412327308036E-5</v>
      </c>
      <c r="W599" s="8">
        <v>8.6987399999999997E-4</v>
      </c>
      <c r="X599" s="8">
        <f t="shared" si="86"/>
        <v>6.6716535352498209E-9</v>
      </c>
      <c r="Y599" s="8"/>
      <c r="Z599" s="8">
        <f t="shared" si="87"/>
        <v>0</v>
      </c>
      <c r="AA599" s="8">
        <v>1.2518015E-2</v>
      </c>
      <c r="AB599" s="8">
        <f t="shared" si="88"/>
        <v>3.9647846676828391E-6</v>
      </c>
      <c r="AC599" s="8">
        <v>0.865259259</v>
      </c>
      <c r="AD599" s="18">
        <f t="shared" si="89"/>
        <v>2.740503700989186E-4</v>
      </c>
      <c r="AE599" s="9">
        <v>26.2</v>
      </c>
      <c r="AF599" s="10">
        <v>19</v>
      </c>
      <c r="AG599" s="10">
        <v>43.4</v>
      </c>
      <c r="AH599" s="10">
        <v>26.7</v>
      </c>
      <c r="AI599" s="10">
        <v>28.6</v>
      </c>
      <c r="AJ599" s="10">
        <v>34.799999999999997</v>
      </c>
      <c r="AK599" s="11">
        <v>3157.3000929999998</v>
      </c>
      <c r="AL599" s="11">
        <v>32.067958900000001</v>
      </c>
      <c r="AM599" s="11">
        <v>621.89801929999999</v>
      </c>
      <c r="AN599" s="11">
        <v>85.4</v>
      </c>
      <c r="AO599" s="11">
        <v>44.628999999999998</v>
      </c>
      <c r="AP599" s="19">
        <v>1.3519057699999999</v>
      </c>
    </row>
    <row r="600" spans="2:42">
      <c r="B600" t="s">
        <v>32</v>
      </c>
      <c r="C600" t="s">
        <v>33</v>
      </c>
      <c r="D600" t="s">
        <v>34</v>
      </c>
      <c r="E600" t="s">
        <v>35</v>
      </c>
      <c r="F600" t="s">
        <v>36</v>
      </c>
      <c r="G600" t="s">
        <v>37</v>
      </c>
      <c r="H600" t="s">
        <v>38</v>
      </c>
      <c r="I600" t="s">
        <v>39</v>
      </c>
      <c r="J600" t="s">
        <v>40</v>
      </c>
      <c r="K600">
        <v>2021</v>
      </c>
      <c r="L600">
        <v>0.847516457266276</v>
      </c>
      <c r="M600" s="17">
        <v>580.73783400000002</v>
      </c>
      <c r="N600" s="7">
        <f t="shared" si="81"/>
        <v>9.981342524949921E-3</v>
      </c>
      <c r="O600" s="8">
        <v>72.783080170000005</v>
      </c>
      <c r="P600" s="8">
        <f t="shared" si="82"/>
        <v>1.2509480365587139E-3</v>
      </c>
      <c r="Q600" s="8">
        <v>0.44404996699999999</v>
      </c>
      <c r="R600" s="8">
        <f t="shared" si="83"/>
        <v>7.6320407580328375E-6</v>
      </c>
      <c r="S600" s="8">
        <v>53.202754579999997</v>
      </c>
      <c r="T600" s="8">
        <f t="shared" si="84"/>
        <v>9.1441419112677977E-4</v>
      </c>
      <c r="U600" s="8">
        <v>0.15335832399999999</v>
      </c>
      <c r="V600" s="8">
        <f t="shared" si="85"/>
        <v>2.6358226918899996E-6</v>
      </c>
      <c r="W600" s="8">
        <v>0.105812563</v>
      </c>
      <c r="X600" s="8">
        <f t="shared" si="86"/>
        <v>4.530279858224223E-11</v>
      </c>
      <c r="Y600" s="8">
        <v>2.3526736999999999E-2</v>
      </c>
      <c r="Z600" s="8">
        <f t="shared" si="87"/>
        <v>4.0436218676156149E-7</v>
      </c>
      <c r="AA600" s="8">
        <v>0.186372756</v>
      </c>
      <c r="AB600" s="8">
        <f t="shared" si="88"/>
        <v>3.2032531824935577E-6</v>
      </c>
      <c r="AC600" s="8">
        <v>11.72576186</v>
      </c>
      <c r="AD600" s="18">
        <f t="shared" si="89"/>
        <v>2.0153473501892399E-4</v>
      </c>
      <c r="AE600" s="9">
        <v>94.8</v>
      </c>
      <c r="AF600" s="10">
        <v>92.9</v>
      </c>
      <c r="AG600" s="10">
        <v>75.5</v>
      </c>
      <c r="AH600" s="10">
        <v>98.6</v>
      </c>
      <c r="AI600" s="10">
        <v>92.4</v>
      </c>
      <c r="AJ600" s="10">
        <v>93.7</v>
      </c>
      <c r="AK600" s="11">
        <v>58182.336949999997</v>
      </c>
      <c r="AL600" s="11">
        <v>47.259237499999998</v>
      </c>
      <c r="AM600" s="11">
        <v>9848.5474950000007</v>
      </c>
      <c r="AN600" s="11">
        <v>12.3</v>
      </c>
      <c r="AO600" s="11">
        <v>86.361999999999995</v>
      </c>
      <c r="AP600" s="19">
        <v>2.0246819500000002</v>
      </c>
    </row>
    <row r="601" spans="2:42">
      <c r="B601" t="s">
        <v>41</v>
      </c>
      <c r="C601" t="s">
        <v>42</v>
      </c>
      <c r="D601" t="s">
        <v>43</v>
      </c>
      <c r="E601" t="s">
        <v>35</v>
      </c>
      <c r="F601" t="s">
        <v>36</v>
      </c>
      <c r="G601" t="s">
        <v>37</v>
      </c>
      <c r="H601" t="s">
        <v>38</v>
      </c>
      <c r="I601" t="s">
        <v>39</v>
      </c>
      <c r="J601" t="s">
        <v>40</v>
      </c>
      <c r="K601">
        <v>2021</v>
      </c>
      <c r="L601">
        <v>0.43448114356649598</v>
      </c>
      <c r="M601" s="17">
        <v>80.724159200000003</v>
      </c>
      <c r="N601" s="7">
        <f t="shared" si="81"/>
        <v>1.2819678454363645E-3</v>
      </c>
      <c r="O601" s="8">
        <v>5.2964576369999996</v>
      </c>
      <c r="P601" s="8">
        <f t="shared" si="82"/>
        <v>8.4112221826026376E-5</v>
      </c>
      <c r="Q601" s="8">
        <v>0.785031696</v>
      </c>
      <c r="R601" s="8">
        <f t="shared" si="83"/>
        <v>1.2466966542531358E-5</v>
      </c>
      <c r="S601" s="8">
        <v>0.75114487299999999</v>
      </c>
      <c r="T601" s="8">
        <f t="shared" si="84"/>
        <v>1.1928815165043944E-5</v>
      </c>
      <c r="U601" s="8">
        <v>6.2181356E-2</v>
      </c>
      <c r="V601" s="8">
        <f t="shared" si="85"/>
        <v>9.8749246529942864E-7</v>
      </c>
      <c r="W601" s="8">
        <v>8.9832099999999998E-2</v>
      </c>
      <c r="X601" s="8">
        <f t="shared" si="86"/>
        <v>1.5682214601803525E-11</v>
      </c>
      <c r="Y601" s="8">
        <v>1.8699073E-2</v>
      </c>
      <c r="Z601" s="8">
        <f t="shared" si="87"/>
        <v>2.9695707658070341E-7</v>
      </c>
      <c r="AA601" s="8">
        <v>2.3025151000000001E-2</v>
      </c>
      <c r="AB601" s="8">
        <f t="shared" si="88"/>
        <v>3.6565884997557153E-7</v>
      </c>
      <c r="AC601" s="8">
        <v>2.2964936890000001</v>
      </c>
      <c r="AD601" s="18">
        <f t="shared" si="89"/>
        <v>3.6470259903871978E-5</v>
      </c>
      <c r="AE601" s="9">
        <v>85.7</v>
      </c>
      <c r="AF601" s="10">
        <v>93.8</v>
      </c>
      <c r="AG601" s="10">
        <v>79.2</v>
      </c>
      <c r="AH601" s="10">
        <v>87.1</v>
      </c>
      <c r="AI601" s="10">
        <v>97.1</v>
      </c>
      <c r="AJ601" s="10">
        <v>94.7</v>
      </c>
      <c r="AK601" s="11">
        <v>62968.942230000001</v>
      </c>
      <c r="AL601" s="11">
        <v>31.537668400000001</v>
      </c>
      <c r="AM601" s="11">
        <v>8381.6102580000006</v>
      </c>
      <c r="AN601" s="11">
        <v>36</v>
      </c>
      <c r="AO601" s="11">
        <v>58.994999999999997</v>
      </c>
      <c r="AP601" s="19">
        <v>3.9540932400000002</v>
      </c>
    </row>
    <row r="602" spans="2:42">
      <c r="B602" t="s">
        <v>44</v>
      </c>
      <c r="C602" t="s">
        <v>45</v>
      </c>
      <c r="D602" t="s">
        <v>46</v>
      </c>
      <c r="E602" t="s">
        <v>35</v>
      </c>
      <c r="F602" t="s">
        <v>36</v>
      </c>
      <c r="G602" t="s">
        <v>37</v>
      </c>
      <c r="H602" t="s">
        <v>38</v>
      </c>
      <c r="I602" t="s">
        <v>39</v>
      </c>
      <c r="J602" t="s">
        <v>40</v>
      </c>
      <c r="K602">
        <v>2021</v>
      </c>
      <c r="L602">
        <v>0.51379691721849696</v>
      </c>
      <c r="M602" s="17">
        <v>56.986171400000003</v>
      </c>
      <c r="N602" s="7">
        <f t="shared" si="81"/>
        <v>2.8335292547888706E-3</v>
      </c>
      <c r="O602" s="8">
        <v>7.556997988</v>
      </c>
      <c r="P602" s="8">
        <f t="shared" si="82"/>
        <v>3.7575738729797581E-4</v>
      </c>
      <c r="Q602" s="8">
        <v>3.1107012999999999E-2</v>
      </c>
      <c r="R602" s="8">
        <f t="shared" si="83"/>
        <v>1.5467372030646317E-6</v>
      </c>
      <c r="S602" s="8">
        <v>5.1785307539999996</v>
      </c>
      <c r="T602" s="8">
        <f t="shared" si="84"/>
        <v>2.5749261667862928E-4</v>
      </c>
      <c r="U602" s="8">
        <v>1.6500659999999999E-3</v>
      </c>
      <c r="V602" s="8">
        <f t="shared" si="85"/>
        <v>8.2046401231517932E-8</v>
      </c>
      <c r="W602" s="8">
        <v>1.7846964E-2</v>
      </c>
      <c r="X602" s="8">
        <f t="shared" si="86"/>
        <v>4.0796016371728333E-12</v>
      </c>
      <c r="Y602" s="8">
        <v>4.0942700000000002E-4</v>
      </c>
      <c r="Z602" s="8">
        <f t="shared" si="87"/>
        <v>2.0357980781990961E-8</v>
      </c>
      <c r="AA602" s="8">
        <v>3.6255497999999997E-2</v>
      </c>
      <c r="AB602" s="8">
        <f t="shared" si="88"/>
        <v>1.8027358516304778E-6</v>
      </c>
      <c r="AC602" s="8">
        <v>2.9104304889999999</v>
      </c>
      <c r="AD602" s="18">
        <f t="shared" si="89"/>
        <v>1.4471563419701816E-4</v>
      </c>
      <c r="AE602" s="9">
        <v>21.4</v>
      </c>
      <c r="AF602" s="10">
        <v>58.6</v>
      </c>
      <c r="AG602" s="10">
        <v>18.399999999999999</v>
      </c>
      <c r="AH602" s="10">
        <v>50.5</v>
      </c>
      <c r="AI602" s="10">
        <v>29.5</v>
      </c>
      <c r="AJ602" s="10">
        <v>7.7</v>
      </c>
      <c r="AK602" s="11">
        <v>20111.375700000001</v>
      </c>
      <c r="AL602" s="11">
        <v>57.8415003</v>
      </c>
      <c r="AM602" s="11">
        <v>2389.0902809999998</v>
      </c>
      <c r="AN602" s="11">
        <v>1.3</v>
      </c>
      <c r="AO602" s="11">
        <v>56.776000000000003</v>
      </c>
      <c r="AP602" s="19">
        <v>-3.1147345</v>
      </c>
    </row>
    <row r="603" spans="2:42">
      <c r="B603" t="s">
        <v>47</v>
      </c>
      <c r="C603" t="s">
        <v>48</v>
      </c>
      <c r="D603" t="s">
        <v>49</v>
      </c>
      <c r="E603" t="s">
        <v>35</v>
      </c>
      <c r="F603" t="s">
        <v>36</v>
      </c>
      <c r="G603" t="s">
        <v>37</v>
      </c>
      <c r="H603" t="s">
        <v>38</v>
      </c>
      <c r="I603" t="s">
        <v>39</v>
      </c>
      <c r="J603" t="s">
        <v>40</v>
      </c>
      <c r="K603">
        <v>2021</v>
      </c>
      <c r="L603">
        <v>1.3344988690352699</v>
      </c>
      <c r="M603" s="17">
        <v>2.522427E-2</v>
      </c>
      <c r="N603" s="7">
        <f t="shared" si="81"/>
        <v>4.1576721425180254E-7</v>
      </c>
      <c r="O603" s="8">
        <v>6.9072495749999998</v>
      </c>
      <c r="P603" s="8">
        <f t="shared" si="82"/>
        <v>1.1385098216676625E-4</v>
      </c>
      <c r="Q603" s="8">
        <v>0.31426907100000001</v>
      </c>
      <c r="R603" s="8">
        <f t="shared" si="83"/>
        <v>5.1800419268891409E-6</v>
      </c>
      <c r="S603" s="8">
        <v>2.6422809520000001</v>
      </c>
      <c r="T603" s="8">
        <f t="shared" si="84"/>
        <v>4.3552253075456329E-5</v>
      </c>
      <c r="U603" s="8">
        <v>4.5199585E-2</v>
      </c>
      <c r="V603" s="8">
        <f t="shared" si="85"/>
        <v>7.4501682470047942E-7</v>
      </c>
      <c r="W603" s="8">
        <v>6.8014878000000001E-2</v>
      </c>
      <c r="X603" s="8">
        <f t="shared" si="86"/>
        <v>1.2279981532723914E-11</v>
      </c>
      <c r="Y603" s="8">
        <v>5.8714950000000002E-2</v>
      </c>
      <c r="Z603" s="8">
        <f t="shared" si="87"/>
        <v>9.6778821335300775E-7</v>
      </c>
      <c r="AA603" s="8">
        <v>3.6512753000000002E-2</v>
      </c>
      <c r="AB603" s="8">
        <f t="shared" si="88"/>
        <v>6.0183329783078546E-7</v>
      </c>
      <c r="AC603" s="8">
        <v>2.4628903389999999</v>
      </c>
      <c r="AD603" s="18">
        <f t="shared" si="89"/>
        <v>4.0595389093666832E-5</v>
      </c>
      <c r="AE603" s="9">
        <v>89.5</v>
      </c>
      <c r="AF603" s="10">
        <v>83.3</v>
      </c>
      <c r="AG603" s="10">
        <v>67.5</v>
      </c>
      <c r="AH603" s="10">
        <v>86.7</v>
      </c>
      <c r="AI603" s="10">
        <v>87.6</v>
      </c>
      <c r="AJ603" s="10">
        <v>90.3</v>
      </c>
      <c r="AK603" s="11">
        <v>60669.213770000002</v>
      </c>
      <c r="AL603" s="11">
        <v>44.784875700000001</v>
      </c>
      <c r="AM603" s="11">
        <v>7680.0019329999996</v>
      </c>
      <c r="AN603" s="11">
        <v>11.7</v>
      </c>
      <c r="AO603" s="11">
        <v>98.117000000000004</v>
      </c>
      <c r="AP603" s="19">
        <v>5.90579711</v>
      </c>
    </row>
    <row r="604" spans="2:42">
      <c r="B604" t="s">
        <v>50</v>
      </c>
      <c r="C604" t="s">
        <v>51</v>
      </c>
      <c r="D604" t="s">
        <v>52</v>
      </c>
      <c r="E604" t="s">
        <v>35</v>
      </c>
      <c r="F604" t="s">
        <v>36</v>
      </c>
      <c r="G604" t="s">
        <v>37</v>
      </c>
      <c r="H604" t="s">
        <v>38</v>
      </c>
      <c r="I604" t="s">
        <v>39</v>
      </c>
      <c r="J604" t="s">
        <v>40</v>
      </c>
      <c r="K604">
        <v>2021</v>
      </c>
      <c r="L604">
        <v>0.82400761470081596</v>
      </c>
      <c r="M604" s="17">
        <v>253.94568699999999</v>
      </c>
      <c r="N604" s="7">
        <f t="shared" si="81"/>
        <v>8.1992250669872171E-3</v>
      </c>
      <c r="O604" s="8">
        <v>2.1642106970000001</v>
      </c>
      <c r="P604" s="8">
        <f t="shared" si="82"/>
        <v>6.9876558277929236E-5</v>
      </c>
      <c r="Q604" s="8">
        <v>0.36041871599999997</v>
      </c>
      <c r="R604" s="8">
        <f t="shared" si="83"/>
        <v>1.1636953577551984E-5</v>
      </c>
      <c r="S604" s="8">
        <v>1.015889287</v>
      </c>
      <c r="T604" s="8">
        <f t="shared" si="84"/>
        <v>3.2800340126486069E-5</v>
      </c>
      <c r="U604" s="8">
        <v>1.579558E-2</v>
      </c>
      <c r="V604" s="8">
        <f t="shared" si="85"/>
        <v>5.0999690923517023E-7</v>
      </c>
      <c r="W604" s="8">
        <v>3.2791371E-2</v>
      </c>
      <c r="X604" s="8">
        <f t="shared" si="86"/>
        <v>1.6466432218976856E-11</v>
      </c>
      <c r="Y604" s="8">
        <v>7.9625040000000005E-3</v>
      </c>
      <c r="Z604" s="8">
        <f t="shared" si="87"/>
        <v>2.5708789609325391E-7</v>
      </c>
      <c r="AA604" s="8">
        <v>4.6195011000000001E-2</v>
      </c>
      <c r="AB604" s="8">
        <f t="shared" si="88"/>
        <v>1.4915129949064669E-6</v>
      </c>
      <c r="AC604" s="8">
        <v>5.6057056989999996</v>
      </c>
      <c r="AD604" s="18">
        <f t="shared" si="89"/>
        <v>1.8099320066575453E-4</v>
      </c>
      <c r="AE604" s="9">
        <v>48.1</v>
      </c>
      <c r="AF604" s="10">
        <v>45.2</v>
      </c>
      <c r="AG604" s="10">
        <v>58</v>
      </c>
      <c r="AH604" s="10">
        <v>66.7</v>
      </c>
      <c r="AI604" s="10">
        <v>52.4</v>
      </c>
      <c r="AJ604" s="10">
        <v>56.5</v>
      </c>
      <c r="AK604" s="11">
        <v>30971.913189999999</v>
      </c>
      <c r="AL604" s="11">
        <v>46.486709699999999</v>
      </c>
      <c r="AM604" s="11">
        <v>5560.9844999999996</v>
      </c>
      <c r="AN604" s="11">
        <v>20.399999999999999</v>
      </c>
      <c r="AO604" s="11">
        <v>76.025000000000006</v>
      </c>
      <c r="AP604" s="19">
        <v>2.7664802100000001</v>
      </c>
    </row>
    <row r="605" spans="2:42">
      <c r="B605" t="s">
        <v>53</v>
      </c>
      <c r="C605" t="s">
        <v>54</v>
      </c>
      <c r="D605" t="s">
        <v>55</v>
      </c>
      <c r="E605" t="s">
        <v>35</v>
      </c>
      <c r="F605" t="s">
        <v>36</v>
      </c>
      <c r="G605" t="s">
        <v>37</v>
      </c>
      <c r="H605" t="s">
        <v>38</v>
      </c>
      <c r="I605" t="s">
        <v>39</v>
      </c>
      <c r="J605" t="s">
        <v>40</v>
      </c>
      <c r="K605">
        <v>2021</v>
      </c>
      <c r="L605">
        <v>0.67806358997067495</v>
      </c>
      <c r="M605" s="17">
        <v>11.5476329</v>
      </c>
      <c r="N605" s="7">
        <f t="shared" si="81"/>
        <v>2.0260740516116432E-4</v>
      </c>
      <c r="O605" s="8">
        <v>31.169392519999999</v>
      </c>
      <c r="P605" s="8">
        <f t="shared" si="82"/>
        <v>5.4687829043535013E-4</v>
      </c>
      <c r="Q605" s="8">
        <v>0.88507167399999997</v>
      </c>
      <c r="R605" s="8">
        <f t="shared" si="83"/>
        <v>1.5528903352200255E-5</v>
      </c>
      <c r="S605" s="8">
        <v>64.583928499999999</v>
      </c>
      <c r="T605" s="8">
        <f t="shared" si="84"/>
        <v>1.133148436724133E-3</v>
      </c>
      <c r="U605" s="8">
        <v>0.26349474499999997</v>
      </c>
      <c r="V605" s="8">
        <f t="shared" si="85"/>
        <v>4.6231108159017307E-6</v>
      </c>
      <c r="W605" s="8">
        <v>0.156699644</v>
      </c>
      <c r="X605" s="8">
        <f t="shared" si="86"/>
        <v>8.111415510813155E-11</v>
      </c>
      <c r="Y605" s="8">
        <v>0.169332553</v>
      </c>
      <c r="Z605" s="8">
        <f t="shared" si="87"/>
        <v>2.9710010241705318E-6</v>
      </c>
      <c r="AA605" s="8">
        <v>0.54583624799999997</v>
      </c>
      <c r="AB605" s="8">
        <f t="shared" si="88"/>
        <v>9.5768948327224493E-6</v>
      </c>
      <c r="AC605" s="8">
        <v>20.693850990000001</v>
      </c>
      <c r="AD605" s="18">
        <f t="shared" si="89"/>
        <v>3.6308111698594883E-4</v>
      </c>
      <c r="AE605" s="9">
        <v>92.4</v>
      </c>
      <c r="AF605" s="10">
        <v>94.3</v>
      </c>
      <c r="AG605" s="10">
        <v>83</v>
      </c>
      <c r="AH605" s="10">
        <v>94.3</v>
      </c>
      <c r="AI605" s="10">
        <v>91.9</v>
      </c>
      <c r="AJ605" s="10">
        <v>96.1</v>
      </c>
      <c r="AK605" s="11">
        <v>56995.117680000003</v>
      </c>
      <c r="AL605" s="11">
        <v>6.4845767900000002</v>
      </c>
      <c r="AM605" s="11">
        <v>14782.87161</v>
      </c>
      <c r="AN605" s="11">
        <v>23.8</v>
      </c>
      <c r="AO605" s="11">
        <v>81.653000000000006</v>
      </c>
      <c r="AP605" s="19">
        <v>2.9761828800000001</v>
      </c>
    </row>
    <row r="606" spans="2:42">
      <c r="B606" t="s">
        <v>56</v>
      </c>
      <c r="C606" t="s">
        <v>57</v>
      </c>
      <c r="D606" t="s">
        <v>58</v>
      </c>
      <c r="E606" t="s">
        <v>35</v>
      </c>
      <c r="F606" t="s">
        <v>36</v>
      </c>
      <c r="G606" t="s">
        <v>37</v>
      </c>
      <c r="H606" t="s">
        <v>38</v>
      </c>
      <c r="I606" t="s">
        <v>39</v>
      </c>
      <c r="J606" t="s">
        <v>40</v>
      </c>
      <c r="K606">
        <v>2021</v>
      </c>
      <c r="L606">
        <v>8.7361937916359003E-2</v>
      </c>
      <c r="M606" s="17">
        <v>728.26791400000002</v>
      </c>
      <c r="N606" s="7">
        <f t="shared" si="81"/>
        <v>2.503512058274087E-2</v>
      </c>
      <c r="O606" s="8">
        <v>6.8502695879999997</v>
      </c>
      <c r="P606" s="8">
        <f t="shared" si="82"/>
        <v>2.3548658654740982E-4</v>
      </c>
      <c r="Q606" s="8">
        <v>0.66472498099999999</v>
      </c>
      <c r="R606" s="8">
        <f t="shared" si="83"/>
        <v>2.2850752770765532E-5</v>
      </c>
      <c r="S606" s="8">
        <v>0.89520222400000005</v>
      </c>
      <c r="T606" s="8">
        <f t="shared" si="84"/>
        <v>3.0773696318272517E-5</v>
      </c>
      <c r="U606" s="8">
        <v>6.7874419000000005E-2</v>
      </c>
      <c r="V606" s="8">
        <f t="shared" si="85"/>
        <v>2.3332680617705728E-6</v>
      </c>
      <c r="W606" s="8">
        <v>0.19395711099999999</v>
      </c>
      <c r="X606" s="8">
        <f t="shared" si="86"/>
        <v>8.0209008464272886E-11</v>
      </c>
      <c r="Y606" s="8">
        <v>2.4782479999999999E-2</v>
      </c>
      <c r="Z606" s="8">
        <f t="shared" si="87"/>
        <v>8.519287520600062E-7</v>
      </c>
      <c r="AA606" s="8">
        <v>6.0020478000000002E-2</v>
      </c>
      <c r="AB606" s="8">
        <f t="shared" si="88"/>
        <v>2.0632790148760359E-6</v>
      </c>
      <c r="AC606" s="8">
        <v>11.196444899999999</v>
      </c>
      <c r="AD606" s="18">
        <f t="shared" si="89"/>
        <v>3.8489179981848553E-4</v>
      </c>
      <c r="AE606" s="9">
        <v>81</v>
      </c>
      <c r="AF606" s="10">
        <v>70</v>
      </c>
      <c r="AG606" s="10">
        <v>51.4</v>
      </c>
      <c r="AH606" s="10">
        <v>78.599999999999994</v>
      </c>
      <c r="AI606" s="10">
        <v>80.5</v>
      </c>
      <c r="AJ606" s="10">
        <v>78.3</v>
      </c>
      <c r="AK606" s="11">
        <v>29089.850460000001</v>
      </c>
      <c r="AL606" s="11">
        <v>14.5494694</v>
      </c>
      <c r="AM606" s="11">
        <v>4306.7208860000001</v>
      </c>
      <c r="AN606" s="11">
        <v>24.2</v>
      </c>
      <c r="AO606" s="11">
        <v>87.816999999999993</v>
      </c>
      <c r="AP606" s="19">
        <v>4.81308998</v>
      </c>
    </row>
    <row r="607" spans="2:42">
      <c r="B607" t="s">
        <v>59</v>
      </c>
      <c r="C607" t="s">
        <v>60</v>
      </c>
      <c r="D607" t="s">
        <v>61</v>
      </c>
      <c r="E607" t="s">
        <v>35</v>
      </c>
      <c r="F607" t="s">
        <v>36</v>
      </c>
      <c r="G607" t="s">
        <v>37</v>
      </c>
      <c r="H607" t="s">
        <v>38</v>
      </c>
      <c r="I607" t="s">
        <v>39</v>
      </c>
      <c r="J607" t="s">
        <v>40</v>
      </c>
      <c r="K607">
        <v>2021</v>
      </c>
      <c r="L607">
        <v>0.201477394379771</v>
      </c>
      <c r="M607" s="17">
        <v>0.36924074000000001</v>
      </c>
      <c r="N607" s="7">
        <f t="shared" si="81"/>
        <v>9.998268061582351E-6</v>
      </c>
      <c r="O607" s="8">
        <v>1.623719463</v>
      </c>
      <c r="P607" s="8">
        <f t="shared" si="82"/>
        <v>4.3966931839326681E-5</v>
      </c>
      <c r="Q607" s="8">
        <v>0.40081034100000001</v>
      </c>
      <c r="R607" s="8">
        <f t="shared" si="83"/>
        <v>1.0853106921983287E-5</v>
      </c>
      <c r="S607" s="8">
        <v>0.29567368700000002</v>
      </c>
      <c r="T607" s="8">
        <f t="shared" si="84"/>
        <v>8.0062259147850169E-6</v>
      </c>
      <c r="U607" s="8">
        <v>5.3395730000000002E-3</v>
      </c>
      <c r="V607" s="8">
        <f t="shared" si="85"/>
        <v>1.44584484876689E-7</v>
      </c>
      <c r="W607" s="8">
        <v>1.3087072999999999E-2</v>
      </c>
      <c r="X607" s="8">
        <f t="shared" si="86"/>
        <v>3.9150458785857052E-12</v>
      </c>
      <c r="Y607" s="8">
        <v>1.475084E-3</v>
      </c>
      <c r="Z607" s="8">
        <f t="shared" si="87"/>
        <v>3.994219393383065E-8</v>
      </c>
      <c r="AA607" s="8">
        <v>1.1090723E-2</v>
      </c>
      <c r="AB607" s="8">
        <f t="shared" si="88"/>
        <v>3.0031361531437941E-7</v>
      </c>
      <c r="AC607" s="8">
        <v>1.2712981880000001</v>
      </c>
      <c r="AD607" s="18">
        <f t="shared" si="89"/>
        <v>3.4424099761656619E-5</v>
      </c>
      <c r="AE607" s="9">
        <v>56.7</v>
      </c>
      <c r="AF607" s="10">
        <v>69.5</v>
      </c>
      <c r="AG607" s="10">
        <v>66</v>
      </c>
      <c r="AH607" s="10">
        <v>68.099999999999994</v>
      </c>
      <c r="AI607" s="10">
        <v>58.6</v>
      </c>
      <c r="AJ607" s="10">
        <v>64.7</v>
      </c>
      <c r="AK607" s="11">
        <v>36930.470130000002</v>
      </c>
      <c r="AL607" s="11">
        <v>26.375982799999999</v>
      </c>
      <c r="AM607" s="11">
        <v>4506.5959329999996</v>
      </c>
      <c r="AN607" s="11">
        <v>34.1</v>
      </c>
      <c r="AO607" s="11">
        <v>57.878</v>
      </c>
      <c r="AP607" s="19">
        <v>7.4270675800000001</v>
      </c>
    </row>
    <row r="608" spans="2:42">
      <c r="B608" t="s">
        <v>62</v>
      </c>
      <c r="C608" t="s">
        <v>63</v>
      </c>
      <c r="D608" t="s">
        <v>64</v>
      </c>
      <c r="E608" t="s">
        <v>35</v>
      </c>
      <c r="F608" t="s">
        <v>36</v>
      </c>
      <c r="G608" t="s">
        <v>37</v>
      </c>
      <c r="H608" t="s">
        <v>38</v>
      </c>
      <c r="I608" t="s">
        <v>39</v>
      </c>
      <c r="J608" t="s">
        <v>40</v>
      </c>
      <c r="K608">
        <v>2021</v>
      </c>
      <c r="L608">
        <v>0.38316138006366102</v>
      </c>
      <c r="M608" s="17">
        <v>9.6143929400000001</v>
      </c>
      <c r="N608" s="7">
        <f t="shared" si="81"/>
        <v>1.9709186524552783E-4</v>
      </c>
      <c r="O608" s="8">
        <v>0.46650303199999998</v>
      </c>
      <c r="P608" s="8">
        <f t="shared" si="82"/>
        <v>9.563157371803253E-6</v>
      </c>
      <c r="Q608" s="8">
        <v>9.542755E-3</v>
      </c>
      <c r="R608" s="8">
        <f t="shared" si="83"/>
        <v>1.9562331124476454E-7</v>
      </c>
      <c r="S608" s="8">
        <v>3.6020850000000001E-3</v>
      </c>
      <c r="T608" s="8">
        <f t="shared" si="84"/>
        <v>7.3841547339850773E-8</v>
      </c>
      <c r="U608" s="8">
        <v>3.6676819999999998E-3</v>
      </c>
      <c r="V608" s="8">
        <f t="shared" si="85"/>
        <v>7.5186264074978391E-8</v>
      </c>
      <c r="W608" s="8">
        <v>2.2480339999999999E-3</v>
      </c>
      <c r="X608" s="8">
        <f t="shared" si="86"/>
        <v>1.5412934669778861E-12</v>
      </c>
      <c r="Y608" s="8"/>
      <c r="Z608" s="8">
        <f t="shared" si="87"/>
        <v>0</v>
      </c>
      <c r="AA608" s="8">
        <v>3.6045249999999999E-3</v>
      </c>
      <c r="AB608" s="8">
        <f t="shared" si="88"/>
        <v>7.3891566530266671E-8</v>
      </c>
      <c r="AC608" s="8">
        <v>1.52911916</v>
      </c>
      <c r="AD608" s="18">
        <f t="shared" si="89"/>
        <v>3.1346435423209852E-5</v>
      </c>
      <c r="AE608" s="9">
        <v>63.8</v>
      </c>
      <c r="AF608" s="10">
        <v>73.8</v>
      </c>
      <c r="AG608" s="10">
        <v>59</v>
      </c>
      <c r="AH608" s="10">
        <v>76.7</v>
      </c>
      <c r="AI608" s="10">
        <v>71</v>
      </c>
      <c r="AJ608" s="10">
        <v>73.400000000000006</v>
      </c>
      <c r="AK608" s="11">
        <v>48781.277340000001</v>
      </c>
      <c r="AL608" s="11">
        <v>13.160855</v>
      </c>
      <c r="AM608" s="11">
        <v>3716.6678430000002</v>
      </c>
      <c r="AN608" s="11">
        <v>15.6</v>
      </c>
      <c r="AO608" s="11">
        <v>66.855999999999995</v>
      </c>
      <c r="AP608" s="19">
        <v>15.048246900000001</v>
      </c>
    </row>
    <row r="609" spans="2:42">
      <c r="B609" t="s">
        <v>65</v>
      </c>
      <c r="C609" t="s">
        <v>66</v>
      </c>
      <c r="D609" t="s">
        <v>67</v>
      </c>
      <c r="E609" t="s">
        <v>35</v>
      </c>
      <c r="F609" t="s">
        <v>36</v>
      </c>
      <c r="G609" t="s">
        <v>37</v>
      </c>
      <c r="H609" t="s">
        <v>38</v>
      </c>
      <c r="I609" t="s">
        <v>39</v>
      </c>
      <c r="J609" t="s">
        <v>40</v>
      </c>
      <c r="K609">
        <v>2021</v>
      </c>
      <c r="L609">
        <v>0.93167996741551196</v>
      </c>
      <c r="M609" s="17">
        <v>9.6143929400000001</v>
      </c>
      <c r="N609" s="7">
        <f t="shared" si="81"/>
        <v>2.011546186509994E-4</v>
      </c>
      <c r="O609" s="8">
        <v>5.0402607560000003</v>
      </c>
      <c r="P609" s="8">
        <f t="shared" si="82"/>
        <v>1.0545353581884889E-4</v>
      </c>
      <c r="Q609" s="8">
        <v>1.0759355660000001</v>
      </c>
      <c r="R609" s="8">
        <f t="shared" si="83"/>
        <v>2.2510980133892592E-5</v>
      </c>
      <c r="S609" s="8">
        <v>2.4607140670000001</v>
      </c>
      <c r="T609" s="8">
        <f t="shared" si="84"/>
        <v>5.1483645701351459E-5</v>
      </c>
      <c r="U609" s="8">
        <v>3.8495464E-2</v>
      </c>
      <c r="V609" s="8">
        <f t="shared" si="85"/>
        <v>8.0541126507289136E-7</v>
      </c>
      <c r="W609" s="8">
        <v>5.4799505999999998E-2</v>
      </c>
      <c r="X609" s="8">
        <f t="shared" si="86"/>
        <v>1.6851006287554174E-11</v>
      </c>
      <c r="Y609" s="8">
        <v>1.4889008E-2</v>
      </c>
      <c r="Z609" s="8">
        <f t="shared" si="87"/>
        <v>3.1151137102699686E-7</v>
      </c>
      <c r="AA609" s="8">
        <v>4.3375779000000003E-2</v>
      </c>
      <c r="AB609" s="8">
        <f t="shared" si="88"/>
        <v>9.0751837769541263E-7</v>
      </c>
      <c r="AC609" s="8">
        <v>5.3253712660000003</v>
      </c>
      <c r="AD609" s="18">
        <f t="shared" si="89"/>
        <v>1.1141868580495316E-4</v>
      </c>
      <c r="AE609" s="9">
        <v>71.900000000000006</v>
      </c>
      <c r="AF609" s="10">
        <v>81.400000000000006</v>
      </c>
      <c r="AG609" s="10">
        <v>81.599999999999994</v>
      </c>
      <c r="AH609" s="10">
        <v>87.6</v>
      </c>
      <c r="AI609" s="10">
        <v>83.3</v>
      </c>
      <c r="AJ609" s="10">
        <v>79.7</v>
      </c>
      <c r="AK609" s="11">
        <v>47796.033739999999</v>
      </c>
      <c r="AL609" s="11">
        <v>45.730560500000003</v>
      </c>
      <c r="AM609" s="11">
        <v>6690.6077919999998</v>
      </c>
      <c r="AN609" s="11">
        <v>17.2</v>
      </c>
      <c r="AO609" s="11">
        <v>74.213999999999999</v>
      </c>
      <c r="AP609" s="19">
        <v>4.4302952500000004</v>
      </c>
    </row>
    <row r="610" spans="2:42">
      <c r="B610" t="s">
        <v>68</v>
      </c>
      <c r="C610" t="s">
        <v>69</v>
      </c>
      <c r="D610" t="s">
        <v>70</v>
      </c>
      <c r="E610" t="s">
        <v>35</v>
      </c>
      <c r="F610" t="s">
        <v>36</v>
      </c>
      <c r="G610" t="s">
        <v>37</v>
      </c>
      <c r="H610" t="s">
        <v>38</v>
      </c>
      <c r="I610" t="s">
        <v>39</v>
      </c>
      <c r="J610" t="s">
        <v>40</v>
      </c>
      <c r="K610">
        <v>2021</v>
      </c>
      <c r="L610">
        <v>0.36934290187954</v>
      </c>
      <c r="M610" s="17">
        <v>728.26791400000002</v>
      </c>
      <c r="N610" s="7">
        <f t="shared" si="81"/>
        <v>1.0446331829983916E-2</v>
      </c>
      <c r="O610" s="8">
        <v>6.8356896880000004</v>
      </c>
      <c r="P610" s="8">
        <f t="shared" si="82"/>
        <v>9.8051666694253447E-5</v>
      </c>
      <c r="Q610" s="8">
        <v>0.33137150700000001</v>
      </c>
      <c r="R610" s="8">
        <f t="shared" si="83"/>
        <v>4.7532187737215593E-6</v>
      </c>
      <c r="S610" s="8">
        <v>0.44806147800000001</v>
      </c>
      <c r="T610" s="8">
        <f t="shared" si="84"/>
        <v>6.4270288302458956E-6</v>
      </c>
      <c r="U610" s="8">
        <v>1.0627975E-2</v>
      </c>
      <c r="V610" s="8">
        <f t="shared" si="85"/>
        <v>1.5244850335500748E-7</v>
      </c>
      <c r="W610" s="8">
        <v>0.12585623600000001</v>
      </c>
      <c r="X610" s="8">
        <f t="shared" si="86"/>
        <v>2.1867332370636672E-12</v>
      </c>
      <c r="Y610" s="14">
        <v>4.5119499999999998E-7</v>
      </c>
      <c r="Z610" s="8">
        <f t="shared" si="87"/>
        <v>6.4719763145154752E-12</v>
      </c>
      <c r="AA610" s="8">
        <v>1.5647773E-2</v>
      </c>
      <c r="AB610" s="8">
        <f t="shared" si="88"/>
        <v>2.2445287787079813E-7</v>
      </c>
      <c r="AC610" s="8">
        <v>2.788697682</v>
      </c>
      <c r="AD610" s="18">
        <f t="shared" si="89"/>
        <v>4.0001297324323648E-5</v>
      </c>
      <c r="AE610" s="9">
        <v>100</v>
      </c>
      <c r="AF610" s="10">
        <v>98.6</v>
      </c>
      <c r="AG610" s="10">
        <v>80.2</v>
      </c>
      <c r="AH610" s="10">
        <v>97.6</v>
      </c>
      <c r="AI610" s="10">
        <v>99</v>
      </c>
      <c r="AJ610" s="10">
        <v>98.6</v>
      </c>
      <c r="AK610" s="11">
        <v>69715.180970000001</v>
      </c>
      <c r="AL610" s="11">
        <v>65.45</v>
      </c>
      <c r="AM610" s="11">
        <v>6160.0895929999997</v>
      </c>
      <c r="AN610" s="11">
        <v>39.5</v>
      </c>
      <c r="AO610" s="11">
        <v>88.24</v>
      </c>
      <c r="AP610" s="19">
        <v>4.1621434500000003</v>
      </c>
    </row>
    <row r="611" spans="2:42">
      <c r="B611" t="s">
        <v>71</v>
      </c>
      <c r="C611" t="s">
        <v>72</v>
      </c>
      <c r="D611" t="s">
        <v>73</v>
      </c>
      <c r="E611" t="s">
        <v>35</v>
      </c>
      <c r="F611" t="s">
        <v>36</v>
      </c>
      <c r="G611" t="s">
        <v>37</v>
      </c>
      <c r="H611" t="s">
        <v>38</v>
      </c>
      <c r="I611" t="s">
        <v>39</v>
      </c>
      <c r="J611" t="s">
        <v>40</v>
      </c>
      <c r="K611">
        <v>2021</v>
      </c>
      <c r="L611">
        <v>0.16355255152869499</v>
      </c>
      <c r="M611" s="17">
        <v>332.30600199999998</v>
      </c>
      <c r="N611" s="7">
        <f t="shared" si="81"/>
        <v>3.0741425762499861E-2</v>
      </c>
      <c r="O611" s="8">
        <v>1.6554905259999999</v>
      </c>
      <c r="P611" s="8">
        <f t="shared" si="82"/>
        <v>1.531484198276709E-4</v>
      </c>
      <c r="Q611" s="8">
        <v>4.9297427999999997E-2</v>
      </c>
      <c r="R611" s="8">
        <f t="shared" si="83"/>
        <v>4.5604750261001367E-6</v>
      </c>
      <c r="S611" s="8">
        <v>5.5875300000000005E-4</v>
      </c>
      <c r="T611" s="8">
        <f t="shared" si="84"/>
        <v>5.1689899567550051E-8</v>
      </c>
      <c r="U611" s="8">
        <v>1.5918779999999999E-3</v>
      </c>
      <c r="V611" s="8">
        <f t="shared" si="85"/>
        <v>1.4726366380814499E-7</v>
      </c>
      <c r="W611" s="8">
        <v>1.3022746E-2</v>
      </c>
      <c r="X611" s="8">
        <f t="shared" si="86"/>
        <v>1.3623271807386215E-11</v>
      </c>
      <c r="Y611" s="8"/>
      <c r="Z611" s="8">
        <f t="shared" si="87"/>
        <v>0</v>
      </c>
      <c r="AA611" s="8">
        <v>1.9259482000000001E-2</v>
      </c>
      <c r="AB611" s="8">
        <f t="shared" si="88"/>
        <v>1.7816829445265404E-6</v>
      </c>
      <c r="AC611" s="8">
        <v>1.403420455</v>
      </c>
      <c r="AD611" s="18">
        <f t="shared" si="89"/>
        <v>1.2982957115218244E-4</v>
      </c>
      <c r="AE611" s="9">
        <v>32.9</v>
      </c>
      <c r="AF611" s="10">
        <v>38.1</v>
      </c>
      <c r="AG611" s="10">
        <v>44.8</v>
      </c>
      <c r="AH611" s="10">
        <v>39.5</v>
      </c>
      <c r="AI611" s="10">
        <v>21.4</v>
      </c>
      <c r="AJ611" s="10">
        <v>45.4</v>
      </c>
      <c r="AK611" s="11">
        <v>10809.713400000001</v>
      </c>
      <c r="AL611" s="11">
        <v>57.707529000000001</v>
      </c>
      <c r="AM611" s="11">
        <v>1070.689484</v>
      </c>
      <c r="AN611" s="11">
        <v>21.9</v>
      </c>
      <c r="AO611" s="11">
        <v>74.117999999999995</v>
      </c>
      <c r="AP611" s="19">
        <v>2.7560499799999998</v>
      </c>
    </row>
    <row r="612" spans="2:42">
      <c r="B612" t="s">
        <v>74</v>
      </c>
      <c r="C612" t="s">
        <v>75</v>
      </c>
      <c r="D612" t="s">
        <v>76</v>
      </c>
      <c r="E612" t="s">
        <v>35</v>
      </c>
      <c r="F612" t="s">
        <v>36</v>
      </c>
      <c r="G612" t="s">
        <v>37</v>
      </c>
      <c r="H612" t="s">
        <v>38</v>
      </c>
      <c r="I612" t="s">
        <v>39</v>
      </c>
      <c r="J612" t="s">
        <v>40</v>
      </c>
      <c r="K612">
        <v>2021</v>
      </c>
      <c r="L612">
        <v>0.55462058736355502</v>
      </c>
      <c r="M612" s="17">
        <v>6.3818432600000001</v>
      </c>
      <c r="N612" s="7">
        <f t="shared" si="81"/>
        <v>1.4421743560887574E-4</v>
      </c>
      <c r="O612" s="8">
        <v>0.87218952100000002</v>
      </c>
      <c r="P612" s="8">
        <f t="shared" si="82"/>
        <v>1.9709812817238274E-5</v>
      </c>
      <c r="Q612" s="8">
        <v>0.144491649</v>
      </c>
      <c r="R612" s="8">
        <f t="shared" si="83"/>
        <v>3.2652345469352339E-6</v>
      </c>
      <c r="S612" s="8">
        <v>6.9133847999999998E-2</v>
      </c>
      <c r="T612" s="8">
        <f t="shared" si="84"/>
        <v>1.5622925644108976E-6</v>
      </c>
      <c r="U612" s="8">
        <v>8.8830699999999996E-4</v>
      </c>
      <c r="V612" s="8">
        <f t="shared" si="85"/>
        <v>2.0074036975551413E-8</v>
      </c>
      <c r="W612" s="8">
        <v>3.0813357E-2</v>
      </c>
      <c r="X612" s="8">
        <f t="shared" si="86"/>
        <v>4.5363479123299193E-13</v>
      </c>
      <c r="Y612" s="8"/>
      <c r="Z612" s="8">
        <f t="shared" si="87"/>
        <v>0</v>
      </c>
      <c r="AA612" s="8">
        <v>1.0598125999999999E-2</v>
      </c>
      <c r="AB612" s="8">
        <f t="shared" si="88"/>
        <v>2.3949735079826324E-7</v>
      </c>
      <c r="AC612" s="8">
        <v>0.77444670999999998</v>
      </c>
      <c r="AD612" s="18">
        <f t="shared" si="89"/>
        <v>1.7501012478944941E-5</v>
      </c>
      <c r="AE612" s="9">
        <v>90</v>
      </c>
      <c r="AF612" s="10">
        <v>88.6</v>
      </c>
      <c r="AG612" s="10">
        <v>70.8</v>
      </c>
      <c r="AH612" s="10">
        <v>92.9</v>
      </c>
      <c r="AI612" s="10">
        <v>88.6</v>
      </c>
      <c r="AJ612" s="10">
        <v>88.4</v>
      </c>
      <c r="AK612" s="11">
        <v>44251.537499999999</v>
      </c>
      <c r="AL612" s="11">
        <v>23.0877193</v>
      </c>
      <c r="AM612" s="11">
        <v>6644.2162330000001</v>
      </c>
      <c r="AN612" s="11">
        <v>38</v>
      </c>
      <c r="AO612" s="11">
        <v>69.415000000000006</v>
      </c>
      <c r="AP612" s="19">
        <v>20.306394900000001</v>
      </c>
    </row>
    <row r="613" spans="2:42">
      <c r="B613" t="s">
        <v>77</v>
      </c>
      <c r="C613" t="s">
        <v>78</v>
      </c>
      <c r="D613" t="s">
        <v>79</v>
      </c>
      <c r="E613" t="s">
        <v>35</v>
      </c>
      <c r="F613" t="s">
        <v>36</v>
      </c>
      <c r="G613" t="s">
        <v>37</v>
      </c>
      <c r="H613" t="s">
        <v>38</v>
      </c>
      <c r="I613" t="s">
        <v>39</v>
      </c>
      <c r="J613" t="s">
        <v>40</v>
      </c>
      <c r="K613">
        <v>2021</v>
      </c>
      <c r="L613">
        <v>0.23028186659560701</v>
      </c>
      <c r="M613" s="17">
        <v>8.6246396399999998</v>
      </c>
      <c r="N613" s="7">
        <f t="shared" si="81"/>
        <v>1.5186797752213954E-4</v>
      </c>
      <c r="O613" s="8">
        <v>2.4002478869999999</v>
      </c>
      <c r="P613" s="8">
        <f t="shared" si="82"/>
        <v>4.2265046119709989E-5</v>
      </c>
      <c r="Q613" s="8">
        <v>0.55271458600000001</v>
      </c>
      <c r="R613" s="8">
        <f t="shared" si="83"/>
        <v>9.7325395409571772E-6</v>
      </c>
      <c r="S613" s="8">
        <v>0.13762735100000001</v>
      </c>
      <c r="T613" s="8">
        <f t="shared" si="84"/>
        <v>2.4234273338404213E-6</v>
      </c>
      <c r="U613" s="8">
        <v>0.16431491600000001</v>
      </c>
      <c r="V613" s="8">
        <f t="shared" si="85"/>
        <v>2.8933584487293722E-6</v>
      </c>
      <c r="W613" s="8">
        <v>0.17142855700000001</v>
      </c>
      <c r="X613" s="8">
        <f t="shared" si="86"/>
        <v>5.0948041216377694E-11</v>
      </c>
      <c r="Y613" s="8">
        <v>4.1449420000000001E-2</v>
      </c>
      <c r="Z613" s="8">
        <f t="shared" si="87"/>
        <v>7.2986696808421342E-7</v>
      </c>
      <c r="AA613" s="8">
        <v>2.3585549000000001E-2</v>
      </c>
      <c r="AB613" s="8">
        <f t="shared" si="88"/>
        <v>4.153089027357114E-7</v>
      </c>
      <c r="AC613" s="8">
        <v>3.6104751739999998</v>
      </c>
      <c r="AD613" s="18">
        <f t="shared" si="89"/>
        <v>6.3575475087243743E-5</v>
      </c>
      <c r="AE613" s="9">
        <v>99.5</v>
      </c>
      <c r="AF613" s="10">
        <v>98.1</v>
      </c>
      <c r="AG613" s="10">
        <v>83.5</v>
      </c>
      <c r="AH613" s="10">
        <v>99</v>
      </c>
      <c r="AI613" s="10">
        <v>100</v>
      </c>
      <c r="AJ613" s="10">
        <v>99.5</v>
      </c>
      <c r="AK613" s="11">
        <v>56790.376620000003</v>
      </c>
      <c r="AL613" s="11">
        <v>7.4618100399999996</v>
      </c>
      <c r="AM613" s="11">
        <v>15646.58618</v>
      </c>
      <c r="AN613" s="11">
        <v>50.2</v>
      </c>
      <c r="AO613" s="11">
        <v>85.596000000000004</v>
      </c>
      <c r="AP613" s="19">
        <v>8.0140629200000006</v>
      </c>
    </row>
    <row r="614" spans="2:42">
      <c r="B614" t="s">
        <v>80</v>
      </c>
      <c r="C614" t="s">
        <v>81</v>
      </c>
      <c r="D614" t="s">
        <v>82</v>
      </c>
      <c r="E614" t="s">
        <v>35</v>
      </c>
      <c r="F614" t="s">
        <v>36</v>
      </c>
      <c r="G614" t="s">
        <v>37</v>
      </c>
      <c r="H614" t="s">
        <v>38</v>
      </c>
      <c r="I614" t="s">
        <v>39</v>
      </c>
      <c r="J614" t="s">
        <v>40</v>
      </c>
      <c r="K614">
        <v>2021</v>
      </c>
      <c r="L614">
        <v>1.0410096909586299</v>
      </c>
      <c r="M614" s="17">
        <v>0.17030890000000001</v>
      </c>
      <c r="N614" s="7">
        <f t="shared" si="81"/>
        <v>3.2429082399359179E-6</v>
      </c>
      <c r="O614" s="8">
        <v>44.170783559999997</v>
      </c>
      <c r="P614" s="8">
        <f t="shared" si="82"/>
        <v>8.4107053695461572E-4</v>
      </c>
      <c r="Q614" s="8">
        <v>2.7743153569999999</v>
      </c>
      <c r="R614" s="8">
        <f t="shared" si="83"/>
        <v>5.2826658685459521E-5</v>
      </c>
      <c r="S614" s="8">
        <v>3.2625339609999999</v>
      </c>
      <c r="T614" s="8">
        <f t="shared" si="84"/>
        <v>6.2122991019246022E-5</v>
      </c>
      <c r="U614" s="8">
        <v>0.11348306700000001</v>
      </c>
      <c r="V614" s="8">
        <f t="shared" si="85"/>
        <v>2.1608687101349363E-6</v>
      </c>
      <c r="W614" s="8">
        <v>0.20129006299999999</v>
      </c>
      <c r="X614" s="8">
        <f t="shared" si="86"/>
        <v>4.1145817661415715E-11</v>
      </c>
      <c r="Y614" s="8">
        <v>6.3724293000000001E-2</v>
      </c>
      <c r="Z614" s="8">
        <f t="shared" si="87"/>
        <v>1.2133953942148104E-6</v>
      </c>
      <c r="AA614" s="8">
        <v>0.16714881500000001</v>
      </c>
      <c r="AB614" s="8">
        <f t="shared" si="88"/>
        <v>3.1827360135555119E-6</v>
      </c>
      <c r="AC614" s="8">
        <v>16.667680619999999</v>
      </c>
      <c r="AD614" s="18">
        <f t="shared" si="89"/>
        <v>3.1737483374749177E-4</v>
      </c>
      <c r="AE614" s="9">
        <v>89</v>
      </c>
      <c r="AF614" s="10">
        <v>85.2</v>
      </c>
      <c r="AG614" s="10">
        <v>56.6</v>
      </c>
      <c r="AH614" s="10">
        <v>85.7</v>
      </c>
      <c r="AI614" s="10">
        <v>87.1</v>
      </c>
      <c r="AJ614" s="10">
        <v>85.5</v>
      </c>
      <c r="AK614" s="11">
        <v>52517.335489999998</v>
      </c>
      <c r="AL614" s="11">
        <v>52.0954768</v>
      </c>
      <c r="AM614" s="11">
        <v>6942.4452359999996</v>
      </c>
      <c r="AN614" s="11">
        <v>16.2</v>
      </c>
      <c r="AO614" s="11">
        <v>81.242000000000004</v>
      </c>
      <c r="AP614" s="19">
        <v>3.3040531199999998</v>
      </c>
    </row>
    <row r="615" spans="2:42">
      <c r="B615" t="s">
        <v>83</v>
      </c>
      <c r="C615" t="s">
        <v>84</v>
      </c>
      <c r="D615" t="s">
        <v>85</v>
      </c>
      <c r="E615" t="s">
        <v>35</v>
      </c>
      <c r="F615" t="s">
        <v>36</v>
      </c>
      <c r="G615" t="s">
        <v>37</v>
      </c>
      <c r="H615" t="s">
        <v>38</v>
      </c>
      <c r="I615" t="s">
        <v>39</v>
      </c>
      <c r="J615" t="s">
        <v>40</v>
      </c>
      <c r="K615">
        <v>2021</v>
      </c>
      <c r="L615">
        <v>0.73732051738748305</v>
      </c>
      <c r="M615" s="17">
        <v>18.827888300000001</v>
      </c>
      <c r="N615" s="7">
        <f t="shared" si="81"/>
        <v>9.9536018671181619E-4</v>
      </c>
      <c r="O615" s="8">
        <v>2.2081913179999999</v>
      </c>
      <c r="P615" s="8">
        <f t="shared" si="82"/>
        <v>1.1673883377457107E-4</v>
      </c>
      <c r="Q615" s="8">
        <v>9.0049623999999995E-2</v>
      </c>
      <c r="R615" s="8">
        <f t="shared" si="83"/>
        <v>4.7605875459739607E-6</v>
      </c>
      <c r="S615" s="8">
        <v>0.123117639</v>
      </c>
      <c r="T615" s="8">
        <f t="shared" si="84"/>
        <v>6.5087700856265427E-6</v>
      </c>
      <c r="U615" s="8">
        <v>2.7433290000000001E-3</v>
      </c>
      <c r="V615" s="8">
        <f t="shared" si="85"/>
        <v>1.4502956583038259E-7</v>
      </c>
      <c r="W615" s="8">
        <v>9.3816899999999998E-4</v>
      </c>
      <c r="X615" s="8">
        <f t="shared" si="86"/>
        <v>7.6671718794753664E-12</v>
      </c>
      <c r="Y615" s="8">
        <v>6.8930399999999996E-3</v>
      </c>
      <c r="Z615" s="8">
        <f t="shared" si="87"/>
        <v>3.6440929923150312E-7</v>
      </c>
      <c r="AA615" s="8">
        <v>1.9683829E-2</v>
      </c>
      <c r="AB615" s="8">
        <f t="shared" si="88"/>
        <v>1.0406105770578352E-6</v>
      </c>
      <c r="AC615" s="8">
        <v>1.599621178</v>
      </c>
      <c r="AD615" s="18">
        <f t="shared" si="89"/>
        <v>8.4566001722150407E-5</v>
      </c>
      <c r="AE615" s="9">
        <v>73.8</v>
      </c>
      <c r="AF615" s="10">
        <v>71</v>
      </c>
      <c r="AG615" s="10">
        <v>30.2</v>
      </c>
      <c r="AH615" s="10">
        <v>82.9</v>
      </c>
      <c r="AI615" s="10">
        <v>55.7</v>
      </c>
      <c r="AJ615" s="10">
        <v>47.3</v>
      </c>
      <c r="AK615" s="11">
        <v>18915.653399999999</v>
      </c>
      <c r="AL615" s="11">
        <v>34.248093300000001</v>
      </c>
      <c r="AM615" s="11">
        <v>3604.8546489999999</v>
      </c>
      <c r="AN615" s="11">
        <v>25.2</v>
      </c>
      <c r="AO615" s="11">
        <v>59.872</v>
      </c>
      <c r="AP615" s="19">
        <v>6.7429514599999996</v>
      </c>
    </row>
    <row r="616" spans="2:42">
      <c r="B616" t="s">
        <v>86</v>
      </c>
      <c r="C616" t="s">
        <v>87</v>
      </c>
      <c r="D616" t="s">
        <v>88</v>
      </c>
      <c r="E616" t="s">
        <v>35</v>
      </c>
      <c r="F616" t="s">
        <v>36</v>
      </c>
      <c r="G616" t="s">
        <v>37</v>
      </c>
      <c r="H616" t="s">
        <v>38</v>
      </c>
      <c r="I616" t="s">
        <v>39</v>
      </c>
      <c r="J616" t="s">
        <v>40</v>
      </c>
      <c r="K616">
        <v>2021</v>
      </c>
      <c r="L616">
        <v>0.57583119316998699</v>
      </c>
      <c r="M616" s="17">
        <v>18.1762564</v>
      </c>
      <c r="N616" s="7">
        <f t="shared" si="81"/>
        <v>2.9067701805636563E-4</v>
      </c>
      <c r="O616" s="8">
        <v>35.141796100000001</v>
      </c>
      <c r="P616" s="8">
        <f t="shared" si="82"/>
        <v>5.6199209973142872E-4</v>
      </c>
      <c r="Q616" s="8">
        <v>3.4483824950000002</v>
      </c>
      <c r="R616" s="8">
        <f t="shared" si="83"/>
        <v>5.5146974091120885E-5</v>
      </c>
      <c r="S616" s="8">
        <v>10.23545762</v>
      </c>
      <c r="T616" s="8">
        <f t="shared" si="84"/>
        <v>1.6368674791712913E-4</v>
      </c>
      <c r="U616" s="8">
        <v>0.22075778099999999</v>
      </c>
      <c r="V616" s="8">
        <f t="shared" si="85"/>
        <v>3.5303866803848673E-6</v>
      </c>
      <c r="W616" s="8">
        <v>0.43290073200000001</v>
      </c>
      <c r="X616" s="8">
        <f t="shared" si="86"/>
        <v>5.6458395516481857E-11</v>
      </c>
      <c r="Y616" s="8">
        <v>0.25810243500000002</v>
      </c>
      <c r="Z616" s="8">
        <f t="shared" si="87"/>
        <v>4.127607165515498E-6</v>
      </c>
      <c r="AA616" s="8">
        <v>0.212781674</v>
      </c>
      <c r="AB616" s="8">
        <f t="shared" si="88"/>
        <v>3.4028317566735964E-6</v>
      </c>
      <c r="AC616" s="8">
        <v>11.59803323</v>
      </c>
      <c r="AD616" s="18">
        <f t="shared" si="89"/>
        <v>1.8547723141796341E-4</v>
      </c>
      <c r="AE616" s="9">
        <v>95.7</v>
      </c>
      <c r="AF616" s="10">
        <v>87.1</v>
      </c>
      <c r="AG616" s="10">
        <v>69.8</v>
      </c>
      <c r="AH616" s="10">
        <v>94.8</v>
      </c>
      <c r="AI616" s="10">
        <v>91.4</v>
      </c>
      <c r="AJ616" s="10">
        <v>95.7</v>
      </c>
      <c r="AK616" s="11">
        <v>62530.765319999999</v>
      </c>
      <c r="AL616" s="11">
        <v>47.4856178</v>
      </c>
      <c r="AM616" s="11">
        <v>6582.5458740000004</v>
      </c>
      <c r="AN616" s="11">
        <v>17.600000000000001</v>
      </c>
      <c r="AO616" s="11">
        <v>77.543999999999997</v>
      </c>
      <c r="AP616" s="19">
        <v>2.9347078600000001</v>
      </c>
    </row>
    <row r="617" spans="2:42">
      <c r="B617" t="s">
        <v>89</v>
      </c>
      <c r="C617" t="s">
        <v>90</v>
      </c>
      <c r="D617" t="s">
        <v>91</v>
      </c>
      <c r="E617" t="s">
        <v>35</v>
      </c>
      <c r="F617" t="s">
        <v>36</v>
      </c>
      <c r="G617" t="s">
        <v>37</v>
      </c>
      <c r="H617" t="s">
        <v>38</v>
      </c>
      <c r="I617" t="s">
        <v>39</v>
      </c>
      <c r="J617" t="s">
        <v>40</v>
      </c>
      <c r="K617">
        <v>2021</v>
      </c>
      <c r="L617">
        <v>1.19619318492589</v>
      </c>
      <c r="M617" s="17">
        <v>0.66960624000000002</v>
      </c>
      <c r="N617" s="7">
        <f t="shared" si="81"/>
        <v>1.9969674107657069E-5</v>
      </c>
      <c r="O617" s="8">
        <v>4.1828735630000002</v>
      </c>
      <c r="P617" s="8">
        <f t="shared" si="82"/>
        <v>1.2474588332188238E-4</v>
      </c>
      <c r="Q617" s="8">
        <v>0.26017992899999998</v>
      </c>
      <c r="R617" s="8">
        <f t="shared" si="83"/>
        <v>7.7593488248905116E-6</v>
      </c>
      <c r="S617" s="8">
        <v>1.971235184</v>
      </c>
      <c r="T617" s="8">
        <f t="shared" si="84"/>
        <v>5.87881681240417E-5</v>
      </c>
      <c r="U617" s="8">
        <v>8.563579E-3</v>
      </c>
      <c r="V617" s="8">
        <f t="shared" si="85"/>
        <v>2.5539170875285724E-7</v>
      </c>
      <c r="W617" s="8">
        <v>2.3001818E-2</v>
      </c>
      <c r="X617" s="8">
        <f t="shared" si="86"/>
        <v>7.6165496808874254E-12</v>
      </c>
      <c r="Y617" s="8">
        <v>1.154485E-3</v>
      </c>
      <c r="Z617" s="8">
        <f t="shared" si="87"/>
        <v>3.4430218589627345E-8</v>
      </c>
      <c r="AA617" s="8">
        <v>5.4900973999999998E-2</v>
      </c>
      <c r="AB617" s="8">
        <f t="shared" si="88"/>
        <v>1.6373123389246699E-6</v>
      </c>
      <c r="AC617" s="8">
        <v>4.080643158</v>
      </c>
      <c r="AD617" s="18">
        <f t="shared" si="89"/>
        <v>1.2169706485247296E-4</v>
      </c>
      <c r="AE617" s="9">
        <v>59.5</v>
      </c>
      <c r="AF617" s="10">
        <v>66.7</v>
      </c>
      <c r="AG617" s="10">
        <v>50.9</v>
      </c>
      <c r="AH617" s="10">
        <v>66.2</v>
      </c>
      <c r="AI617" s="10">
        <v>60.5</v>
      </c>
      <c r="AJ617" s="10">
        <v>77.8</v>
      </c>
      <c r="AK617" s="11">
        <v>33531.15511</v>
      </c>
      <c r="AL617" s="11">
        <v>44.312867300000001</v>
      </c>
      <c r="AM617" s="11">
        <v>4997.1582539999999</v>
      </c>
      <c r="AN617" s="11">
        <v>21.5</v>
      </c>
      <c r="AO617" s="11">
        <v>80.037999999999997</v>
      </c>
      <c r="AP617" s="19">
        <v>2.8091475400000001</v>
      </c>
    </row>
    <row r="618" spans="2:42">
      <c r="B618" t="s">
        <v>92</v>
      </c>
      <c r="C618" t="s">
        <v>93</v>
      </c>
      <c r="D618" t="s">
        <v>94</v>
      </c>
      <c r="E618" t="s">
        <v>35</v>
      </c>
      <c r="F618" t="s">
        <v>36</v>
      </c>
      <c r="G618" t="s">
        <v>37</v>
      </c>
      <c r="H618" t="s">
        <v>38</v>
      </c>
      <c r="I618" t="s">
        <v>39</v>
      </c>
      <c r="J618" t="s">
        <v>40</v>
      </c>
      <c r="K618">
        <v>2021</v>
      </c>
      <c r="L618">
        <v>0.71248818513631695</v>
      </c>
      <c r="M618" s="17">
        <v>18.827888300000001</v>
      </c>
      <c r="N618" s="7">
        <f t="shared" si="81"/>
        <v>4.8416683848952587E-4</v>
      </c>
      <c r="O618" s="8">
        <v>3.5975390379999999</v>
      </c>
      <c r="P618" s="8">
        <f t="shared" si="82"/>
        <v>9.2512185892408872E-5</v>
      </c>
      <c r="Q618" s="8">
        <v>0.52558341500000005</v>
      </c>
      <c r="R618" s="8">
        <f t="shared" si="83"/>
        <v>1.3515592208133E-5</v>
      </c>
      <c r="S618" s="8">
        <v>2.0997672999999999</v>
      </c>
      <c r="T618" s="8">
        <f t="shared" si="84"/>
        <v>5.3996373836819915E-5</v>
      </c>
      <c r="U618" s="8">
        <v>2.0616908E-2</v>
      </c>
      <c r="V618" s="8">
        <f t="shared" si="85"/>
        <v>5.3017221085751891E-7</v>
      </c>
      <c r="W618" s="8">
        <v>3.5097481999999999E-2</v>
      </c>
      <c r="X618" s="8">
        <f t="shared" si="86"/>
        <v>1.3633594968049986E-11</v>
      </c>
      <c r="Y618" s="8">
        <v>6.5349609999999997E-3</v>
      </c>
      <c r="Z618" s="8">
        <f t="shared" si="87"/>
        <v>1.6804919152947972E-7</v>
      </c>
      <c r="AA618" s="8">
        <v>1.8295717999999999E-2</v>
      </c>
      <c r="AB618" s="8">
        <f t="shared" si="88"/>
        <v>4.7048186184299333E-7</v>
      </c>
      <c r="AC618" s="8">
        <v>3.6740377259999999</v>
      </c>
      <c r="AD618" s="18">
        <f t="shared" si="89"/>
        <v>9.4479380902672279E-5</v>
      </c>
      <c r="AE618" s="9">
        <v>55.2</v>
      </c>
      <c r="AF618" s="10">
        <v>70.5</v>
      </c>
      <c r="AG618" s="10">
        <v>73.099999999999994</v>
      </c>
      <c r="AH618" s="10">
        <v>67.599999999999994</v>
      </c>
      <c r="AI618" s="10">
        <v>67.599999999999994</v>
      </c>
      <c r="AJ618" s="10">
        <v>58.9</v>
      </c>
      <c r="AK618" s="11">
        <v>38887.190949999997</v>
      </c>
      <c r="AL618" s="11">
        <v>55.267243000000001</v>
      </c>
      <c r="AM618" s="11">
        <v>4757.7949879999996</v>
      </c>
      <c r="AN618" s="11">
        <v>15.3</v>
      </c>
      <c r="AO618" s="11">
        <v>72.245000000000005</v>
      </c>
      <c r="AP618" s="19">
        <v>18.286685599999998</v>
      </c>
    </row>
    <row r="619" spans="2:42">
      <c r="B619" t="s">
        <v>95</v>
      </c>
      <c r="C619" t="s">
        <v>96</v>
      </c>
      <c r="D619" t="s">
        <v>97</v>
      </c>
      <c r="E619" t="s">
        <v>35</v>
      </c>
      <c r="F619" t="s">
        <v>36</v>
      </c>
      <c r="G619" t="s">
        <v>37</v>
      </c>
      <c r="H619" t="s">
        <v>38</v>
      </c>
      <c r="I619" t="s">
        <v>39</v>
      </c>
      <c r="J619" t="s">
        <v>40</v>
      </c>
      <c r="K619">
        <v>2021</v>
      </c>
      <c r="L619">
        <v>0.73291705902304105</v>
      </c>
      <c r="M619" s="17">
        <v>67.110104199999995</v>
      </c>
      <c r="N619" s="7">
        <f t="shared" si="81"/>
        <v>1.0892691428594367E-3</v>
      </c>
      <c r="O619" s="8">
        <v>0.291203551</v>
      </c>
      <c r="P619" s="8">
        <f t="shared" si="82"/>
        <v>4.7265467126989542E-6</v>
      </c>
      <c r="Q619" s="8">
        <v>1.565234E-3</v>
      </c>
      <c r="R619" s="8">
        <f t="shared" si="83"/>
        <v>2.5405430640866858E-8</v>
      </c>
      <c r="S619" s="8"/>
      <c r="T619" s="8">
        <f t="shared" si="84"/>
        <v>0</v>
      </c>
      <c r="U619" s="14">
        <v>9.4471599999999999E-5</v>
      </c>
      <c r="V619" s="8">
        <f t="shared" si="85"/>
        <v>1.5333756366982302E-9</v>
      </c>
      <c r="W619" s="14">
        <v>2.8947699999999998E-6</v>
      </c>
      <c r="X619" s="8">
        <f t="shared" si="86"/>
        <v>2.4888335152783512E-14</v>
      </c>
      <c r="Y619" s="8">
        <v>4.0858860000000004E-3</v>
      </c>
      <c r="Z619" s="8">
        <f t="shared" si="87"/>
        <v>6.6318322614694631E-8</v>
      </c>
      <c r="AA619" s="8">
        <v>2.006009E-3</v>
      </c>
      <c r="AB619" s="8">
        <f t="shared" si="88"/>
        <v>3.2559682778712123E-8</v>
      </c>
      <c r="AC619" s="8">
        <v>0.26001517099999999</v>
      </c>
      <c r="AD619" s="18">
        <f t="shared" si="89"/>
        <v>4.220325773918555E-6</v>
      </c>
      <c r="AE619" s="9">
        <v>95.2</v>
      </c>
      <c r="AF619" s="10">
        <v>94.8</v>
      </c>
      <c r="AG619" s="10">
        <v>96.2</v>
      </c>
      <c r="AH619" s="10">
        <v>91.9</v>
      </c>
      <c r="AI619" s="10">
        <v>96.2</v>
      </c>
      <c r="AJ619" s="10">
        <v>94.2</v>
      </c>
      <c r="AK619" s="11">
        <v>61610.21327</v>
      </c>
      <c r="AL619" s="11">
        <v>18.565902999999999</v>
      </c>
      <c r="AM619" s="11">
        <v>51135.5095</v>
      </c>
      <c r="AN619" s="11">
        <v>82.4</v>
      </c>
      <c r="AO619" s="11">
        <v>93.944000000000003</v>
      </c>
      <c r="AP619" s="19">
        <v>1.8053867400000001</v>
      </c>
    </row>
    <row r="620" spans="2:42">
      <c r="B620" t="s">
        <v>98</v>
      </c>
      <c r="C620" t="s">
        <v>99</v>
      </c>
      <c r="D620" t="s">
        <v>100</v>
      </c>
      <c r="E620" t="s">
        <v>35</v>
      </c>
      <c r="F620" t="s">
        <v>36</v>
      </c>
      <c r="G620" t="s">
        <v>37</v>
      </c>
      <c r="H620" t="s">
        <v>38</v>
      </c>
      <c r="I620" t="s">
        <v>39</v>
      </c>
      <c r="J620" t="s">
        <v>40</v>
      </c>
      <c r="K620">
        <v>2021</v>
      </c>
      <c r="L620">
        <v>0.33365304619877001</v>
      </c>
      <c r="M620" s="17">
        <v>3679.8617800000002</v>
      </c>
      <c r="N620" s="7">
        <f t="shared" si="81"/>
        <v>0.28845655323374358</v>
      </c>
      <c r="O620" s="8">
        <v>113.27157699999999</v>
      </c>
      <c r="P620" s="8">
        <f t="shared" si="82"/>
        <v>8.8791184653600162E-3</v>
      </c>
      <c r="Q620" s="8">
        <v>3.7318282639999998</v>
      </c>
      <c r="R620" s="8">
        <f t="shared" si="83"/>
        <v>2.9253009559878214E-4</v>
      </c>
      <c r="S620" s="8">
        <v>200.78293360000001</v>
      </c>
      <c r="T620" s="8">
        <f t="shared" si="84"/>
        <v>1.5738947937989019E-2</v>
      </c>
      <c r="U620" s="8">
        <v>0.58028289200000005</v>
      </c>
      <c r="V620" s="8">
        <f t="shared" si="85"/>
        <v>4.5487144065185156E-5</v>
      </c>
      <c r="W620" s="8">
        <v>0.314747263</v>
      </c>
      <c r="X620" s="8">
        <f t="shared" si="86"/>
        <v>3.5656406620495523E-9</v>
      </c>
      <c r="Y620" s="8">
        <v>0.130782551</v>
      </c>
      <c r="Z620" s="8">
        <f t="shared" si="87"/>
        <v>1.0251766544496756E-5</v>
      </c>
      <c r="AA620" s="8">
        <v>0.81207458899999996</v>
      </c>
      <c r="AB620" s="8">
        <f t="shared" si="88"/>
        <v>6.3656803139939917E-5</v>
      </c>
      <c r="AC620" s="8">
        <v>48.170091640000003</v>
      </c>
      <c r="AD620" s="18">
        <f t="shared" si="89"/>
        <v>3.7759512270126531E-3</v>
      </c>
      <c r="AE620" s="9">
        <v>36.700000000000003</v>
      </c>
      <c r="AF620" s="10">
        <v>64.3</v>
      </c>
      <c r="AG620" s="10">
        <v>27.4</v>
      </c>
      <c r="AH620" s="10">
        <v>61</v>
      </c>
      <c r="AI620" s="10">
        <v>44.3</v>
      </c>
      <c r="AJ620" s="10">
        <v>53.1</v>
      </c>
      <c r="AK620" s="11">
        <v>12757.074640000001</v>
      </c>
      <c r="AL620" s="11">
        <v>29.5711105</v>
      </c>
      <c r="AM620" s="11">
        <v>1028.374773</v>
      </c>
      <c r="AN620" s="11">
        <v>20.2</v>
      </c>
      <c r="AO620" s="11">
        <v>57.29</v>
      </c>
      <c r="AP620" s="19">
        <v>1.7878556299999999</v>
      </c>
    </row>
    <row r="621" spans="2:42">
      <c r="B621" t="s">
        <v>101</v>
      </c>
      <c r="C621" t="s">
        <v>102</v>
      </c>
      <c r="D621" t="s">
        <v>103</v>
      </c>
      <c r="E621" t="s">
        <v>35</v>
      </c>
      <c r="F621" t="s">
        <v>36</v>
      </c>
      <c r="G621" t="s">
        <v>37</v>
      </c>
      <c r="H621" t="s">
        <v>38</v>
      </c>
      <c r="I621" t="s">
        <v>39</v>
      </c>
      <c r="J621" t="s">
        <v>40</v>
      </c>
      <c r="K621">
        <v>2021</v>
      </c>
      <c r="L621">
        <v>0.34799581498675802</v>
      </c>
      <c r="M621" s="17">
        <v>61.3156161</v>
      </c>
      <c r="N621" s="7">
        <f t="shared" si="81"/>
        <v>5.2449718910482529E-4</v>
      </c>
      <c r="O621" s="8">
        <v>15.914672550000001</v>
      </c>
      <c r="P621" s="8">
        <f t="shared" si="82"/>
        <v>1.3613499380623074E-4</v>
      </c>
      <c r="Q621" s="8">
        <v>0.159399809</v>
      </c>
      <c r="R621" s="8">
        <f t="shared" si="83"/>
        <v>1.3635148283920779E-6</v>
      </c>
      <c r="S621" s="8">
        <v>1.2463080369999999</v>
      </c>
      <c r="T621" s="8">
        <f t="shared" si="84"/>
        <v>1.0660988239915159E-5</v>
      </c>
      <c r="U621" s="8">
        <v>1.1993136E-2</v>
      </c>
      <c r="V621" s="8">
        <f t="shared" si="85"/>
        <v>1.025899521305126E-7</v>
      </c>
      <c r="W621" s="8">
        <v>2.1956224E-2</v>
      </c>
      <c r="X621" s="8">
        <f t="shared" si="86"/>
        <v>8.7756015425330519E-13</v>
      </c>
      <c r="Y621" s="8"/>
      <c r="Z621" s="8">
        <f t="shared" si="87"/>
        <v>0</v>
      </c>
      <c r="AA621" s="8">
        <v>8.2864010000000005E-3</v>
      </c>
      <c r="AB621" s="8">
        <f t="shared" si="88"/>
        <v>7.0882334855890218E-8</v>
      </c>
      <c r="AC621" s="8">
        <v>0.67903864300000005</v>
      </c>
      <c r="AD621" s="18">
        <f t="shared" si="89"/>
        <v>5.808534304967295E-6</v>
      </c>
      <c r="AE621" s="9">
        <v>92.9</v>
      </c>
      <c r="AF621" s="10">
        <v>91.4</v>
      </c>
      <c r="AG621" s="10">
        <v>75.900000000000006</v>
      </c>
      <c r="AH621" s="10">
        <v>93.3</v>
      </c>
      <c r="AI621" s="10">
        <v>90.5</v>
      </c>
      <c r="AJ621" s="10">
        <v>95.2</v>
      </c>
      <c r="AK621" s="11">
        <v>116903.6124</v>
      </c>
      <c r="AL621" s="11">
        <v>62.955436200000001</v>
      </c>
      <c r="AM621" s="11">
        <v>6073.66867</v>
      </c>
      <c r="AN621" s="11">
        <v>12.7</v>
      </c>
      <c r="AO621" s="11">
        <v>63.911999999999999</v>
      </c>
      <c r="AP621" s="19">
        <v>14.6286171</v>
      </c>
    </row>
    <row r="622" spans="2:42">
      <c r="B622" t="s">
        <v>104</v>
      </c>
      <c r="C622" t="s">
        <v>105</v>
      </c>
      <c r="D622" t="s">
        <v>106</v>
      </c>
      <c r="E622" t="s">
        <v>35</v>
      </c>
      <c r="F622" t="s">
        <v>36</v>
      </c>
      <c r="G622" t="s">
        <v>37</v>
      </c>
      <c r="H622" t="s">
        <v>38</v>
      </c>
      <c r="I622" t="s">
        <v>39</v>
      </c>
      <c r="J622" t="s">
        <v>40</v>
      </c>
      <c r="K622">
        <v>2021</v>
      </c>
      <c r="L622">
        <v>0.54042568051295103</v>
      </c>
      <c r="M622" s="17">
        <v>4.3587824099999999</v>
      </c>
      <c r="N622" s="7">
        <f t="shared" si="81"/>
        <v>9.4423435765000202E-5</v>
      </c>
      <c r="O622" s="8">
        <v>2.0588486559999999</v>
      </c>
      <c r="P622" s="8">
        <f t="shared" si="82"/>
        <v>4.4600428636600145E-5</v>
      </c>
      <c r="Q622" s="8">
        <v>1.1764258999999999E-2</v>
      </c>
      <c r="R622" s="8">
        <f t="shared" si="83"/>
        <v>2.548468011297966E-7</v>
      </c>
      <c r="S622" s="8">
        <v>0.485315359</v>
      </c>
      <c r="T622" s="8">
        <f t="shared" si="84"/>
        <v>1.05132900236478E-5</v>
      </c>
      <c r="U622" s="8">
        <v>4.9198949999999997E-3</v>
      </c>
      <c r="V622" s="8">
        <f t="shared" si="85"/>
        <v>1.0657870611693271E-7</v>
      </c>
      <c r="W622" s="8">
        <v>3.3569598999999999E-2</v>
      </c>
      <c r="X622" s="8">
        <f t="shared" si="86"/>
        <v>2.3087932969218875E-12</v>
      </c>
      <c r="Y622" s="8">
        <v>1.848E-3</v>
      </c>
      <c r="Z622" s="8">
        <f t="shared" si="87"/>
        <v>4.0032856169510052E-8</v>
      </c>
      <c r="AA622" s="8">
        <v>5.1037526E-2</v>
      </c>
      <c r="AB622" s="8">
        <f t="shared" si="88"/>
        <v>1.1056157671026134E-6</v>
      </c>
      <c r="AC622" s="8">
        <v>6.4864536050000003</v>
      </c>
      <c r="AD622" s="18">
        <f t="shared" si="89"/>
        <v>1.40514753365349E-4</v>
      </c>
      <c r="AE622" s="9">
        <v>80</v>
      </c>
      <c r="AF622" s="10">
        <v>86.7</v>
      </c>
      <c r="AG622" s="10">
        <v>13.2</v>
      </c>
      <c r="AH622" s="10">
        <v>84.8</v>
      </c>
      <c r="AI622" s="10">
        <v>81.400000000000006</v>
      </c>
      <c r="AJ622" s="10">
        <v>67.599999999999994</v>
      </c>
      <c r="AK622" s="11">
        <v>46162.082269999999</v>
      </c>
      <c r="AL622" s="11">
        <v>29.736598900000001</v>
      </c>
      <c r="AM622" s="11">
        <v>6809.8683229999997</v>
      </c>
      <c r="AN622" s="11">
        <v>6.2</v>
      </c>
      <c r="AO622" s="11">
        <v>92.674000000000007</v>
      </c>
      <c r="AP622" s="19">
        <v>3.8684985300000001</v>
      </c>
    </row>
    <row r="623" spans="2:42">
      <c r="B623" t="s">
        <v>107</v>
      </c>
      <c r="C623" t="s">
        <v>108</v>
      </c>
      <c r="D623" t="s">
        <v>109</v>
      </c>
      <c r="E623" t="s">
        <v>35</v>
      </c>
      <c r="F623" t="s">
        <v>36</v>
      </c>
      <c r="G623" t="s">
        <v>37</v>
      </c>
      <c r="H623" t="s">
        <v>38</v>
      </c>
      <c r="I623" t="s">
        <v>39</v>
      </c>
      <c r="J623" t="s">
        <v>40</v>
      </c>
      <c r="K623">
        <v>2021</v>
      </c>
      <c r="L623">
        <v>0.95570944585411499</v>
      </c>
      <c r="M623" s="17">
        <v>78.4457491</v>
      </c>
      <c r="N623" s="7">
        <f t="shared" si="81"/>
        <v>1.5744130398427697E-3</v>
      </c>
      <c r="O623" s="8">
        <v>22.2067716</v>
      </c>
      <c r="P623" s="8">
        <f t="shared" si="82"/>
        <v>4.4569184667075972E-4</v>
      </c>
      <c r="Q623" s="8">
        <v>2.491750686</v>
      </c>
      <c r="R623" s="8">
        <f t="shared" si="83"/>
        <v>5.0009654023121144E-5</v>
      </c>
      <c r="S623" s="8">
        <v>4.5388704239999997</v>
      </c>
      <c r="T623" s="8">
        <f t="shared" si="84"/>
        <v>9.1095526063403743E-5</v>
      </c>
      <c r="U623" s="8">
        <v>6.0347976999999997E-2</v>
      </c>
      <c r="V623" s="8">
        <f t="shared" si="85"/>
        <v>1.2111891722241396E-6</v>
      </c>
      <c r="W623" s="8">
        <v>0.24469005999999999</v>
      </c>
      <c r="X623" s="8">
        <f t="shared" si="86"/>
        <v>2.4308672532850548E-11</v>
      </c>
      <c r="Y623" s="8">
        <v>3.2912394999999997E-2</v>
      </c>
      <c r="Z623" s="8">
        <f t="shared" si="87"/>
        <v>6.605546438775224E-7</v>
      </c>
      <c r="AA623" s="8">
        <v>0.34867548399999998</v>
      </c>
      <c r="AB623" s="8">
        <f t="shared" si="88"/>
        <v>6.9979474347716947E-6</v>
      </c>
      <c r="AC623" s="8">
        <v>11.93281144</v>
      </c>
      <c r="AD623" s="18">
        <f t="shared" si="89"/>
        <v>2.3949256841402229E-4</v>
      </c>
      <c r="AE623" s="9">
        <v>67.599999999999994</v>
      </c>
      <c r="AF623" s="10">
        <v>63.8</v>
      </c>
      <c r="AG623" s="10">
        <v>63.7</v>
      </c>
      <c r="AH623" s="10">
        <v>68.599999999999994</v>
      </c>
      <c r="AI623" s="10">
        <v>58.1</v>
      </c>
      <c r="AJ623" s="10">
        <v>83.6</v>
      </c>
      <c r="AK623" s="11">
        <v>49825.393409999997</v>
      </c>
      <c r="AL623" s="11">
        <v>41.9422316</v>
      </c>
      <c r="AM623" s="11">
        <v>5290.2285490000004</v>
      </c>
      <c r="AN623" s="11">
        <v>17.5</v>
      </c>
      <c r="AO623" s="11">
        <v>71.346000000000004</v>
      </c>
      <c r="AP623" s="19">
        <v>1.20474316</v>
      </c>
    </row>
    <row r="624" spans="2:42">
      <c r="B624" t="s">
        <v>110</v>
      </c>
      <c r="C624" t="s">
        <v>111</v>
      </c>
      <c r="D624" t="s">
        <v>112</v>
      </c>
      <c r="E624" t="s">
        <v>35</v>
      </c>
      <c r="F624" t="s">
        <v>36</v>
      </c>
      <c r="G624" t="s">
        <v>37</v>
      </c>
      <c r="H624" t="s">
        <v>38</v>
      </c>
      <c r="I624" t="s">
        <v>39</v>
      </c>
      <c r="J624" t="s">
        <v>40</v>
      </c>
      <c r="K624">
        <v>2021</v>
      </c>
      <c r="L624">
        <v>1.1631798915860401</v>
      </c>
      <c r="M624" s="17">
        <v>1.40818785</v>
      </c>
      <c r="N624" s="7">
        <f t="shared" si="81"/>
        <v>3.174787011346486E-5</v>
      </c>
      <c r="O624" s="8">
        <v>43.683171919999999</v>
      </c>
      <c r="P624" s="8">
        <f t="shared" si="82"/>
        <v>9.848456427601726E-4</v>
      </c>
      <c r="Q624" s="8">
        <v>1.0825027300000001</v>
      </c>
      <c r="R624" s="8">
        <f t="shared" si="83"/>
        <v>2.4405235473030906E-5</v>
      </c>
      <c r="S624" s="8">
        <v>3.7612548690000001</v>
      </c>
      <c r="T624" s="8">
        <f t="shared" si="84"/>
        <v>8.4798225637757986E-5</v>
      </c>
      <c r="U624" s="8">
        <v>0.345824346</v>
      </c>
      <c r="V624" s="8">
        <f t="shared" si="85"/>
        <v>7.7966774240254471E-6</v>
      </c>
      <c r="W624" s="8">
        <v>0.66409109099999997</v>
      </c>
      <c r="X624" s="8">
        <f t="shared" si="86"/>
        <v>1.7577761530504876E-10</v>
      </c>
      <c r="Y624" s="8">
        <v>0.52418456099999999</v>
      </c>
      <c r="Z624" s="8">
        <f t="shared" si="87"/>
        <v>1.1817843306993168E-5</v>
      </c>
      <c r="AA624" s="8">
        <v>0.48720825299999998</v>
      </c>
      <c r="AB624" s="8">
        <f t="shared" si="88"/>
        <v>1.0984205221236731E-5</v>
      </c>
      <c r="AC624" s="8">
        <v>6.9292845539999997</v>
      </c>
      <c r="AD624" s="18">
        <f t="shared" si="89"/>
        <v>1.5622207363856342E-4</v>
      </c>
      <c r="AE624" s="9">
        <v>91</v>
      </c>
      <c r="AF624" s="10">
        <v>89</v>
      </c>
      <c r="AG624" s="10">
        <v>84.9</v>
      </c>
      <c r="AH624" s="10">
        <v>90</v>
      </c>
      <c r="AI624" s="10">
        <v>91</v>
      </c>
      <c r="AJ624" s="10">
        <v>82.1</v>
      </c>
      <c r="AK624" s="11">
        <v>44355.348720000002</v>
      </c>
      <c r="AL624" s="11">
        <v>12.781893</v>
      </c>
      <c r="AM624" s="11">
        <v>7959.5585650000003</v>
      </c>
      <c r="AN624" s="11">
        <v>8.8000000000000007</v>
      </c>
      <c r="AO624" s="11">
        <v>91.867000000000004</v>
      </c>
      <c r="AP624" s="19">
        <v>0.69510088999999997</v>
      </c>
    </row>
    <row r="625" spans="2:42">
      <c r="B625" t="s">
        <v>113</v>
      </c>
      <c r="C625" t="s">
        <v>114</v>
      </c>
      <c r="D625" t="s">
        <v>115</v>
      </c>
      <c r="E625" t="s">
        <v>35</v>
      </c>
      <c r="F625" t="s">
        <v>36</v>
      </c>
      <c r="G625" t="s">
        <v>37</v>
      </c>
      <c r="H625" t="s">
        <v>38</v>
      </c>
      <c r="I625" t="s">
        <v>39</v>
      </c>
      <c r="J625" t="s">
        <v>40</v>
      </c>
      <c r="K625">
        <v>2021</v>
      </c>
      <c r="L625">
        <v>0.57267108676887202</v>
      </c>
      <c r="M625" s="17">
        <v>38.793765299999997</v>
      </c>
      <c r="N625" s="7">
        <f t="shared" si="81"/>
        <v>1.0509793989545147E-3</v>
      </c>
      <c r="O625" s="8">
        <v>1.172638987</v>
      </c>
      <c r="P625" s="8">
        <f t="shared" si="82"/>
        <v>3.1768491875365631E-5</v>
      </c>
      <c r="Q625" s="8">
        <v>0.18778400100000001</v>
      </c>
      <c r="R625" s="8">
        <f t="shared" si="83"/>
        <v>5.0873410966440529E-6</v>
      </c>
      <c r="S625" s="8">
        <v>0.18106640399999999</v>
      </c>
      <c r="T625" s="8">
        <f t="shared" si="84"/>
        <v>4.9053516454298738E-6</v>
      </c>
      <c r="U625" s="8">
        <v>1.7533182000000001E-2</v>
      </c>
      <c r="V625" s="8">
        <f t="shared" si="85"/>
        <v>4.7499934429206131E-7</v>
      </c>
      <c r="W625" s="8">
        <v>2.2613692000000001E-2</v>
      </c>
      <c r="X625" s="8">
        <f t="shared" si="86"/>
        <v>1.2868421549373535E-11</v>
      </c>
      <c r="Y625" s="8"/>
      <c r="Z625" s="8">
        <f t="shared" si="87"/>
        <v>0</v>
      </c>
      <c r="AA625" s="8">
        <v>5.6094639999999998E-3</v>
      </c>
      <c r="AB625" s="8">
        <f t="shared" si="88"/>
        <v>1.5196852013684242E-7</v>
      </c>
      <c r="AC625" s="8">
        <v>0.78007923099999998</v>
      </c>
      <c r="AD625" s="18">
        <f t="shared" si="89"/>
        <v>2.1133478408018315E-5</v>
      </c>
      <c r="AE625" s="9">
        <v>76.2</v>
      </c>
      <c r="AF625" s="10">
        <v>76.7</v>
      </c>
      <c r="AG625" s="10">
        <v>67.900000000000006</v>
      </c>
      <c r="AH625" s="10">
        <v>85.2</v>
      </c>
      <c r="AI625" s="10">
        <v>81.900000000000006</v>
      </c>
      <c r="AJ625" s="10">
        <v>74.900000000000006</v>
      </c>
      <c r="AK625" s="11">
        <v>36912.013059999997</v>
      </c>
      <c r="AL625" s="11">
        <v>31.656757200000001</v>
      </c>
      <c r="AM625" s="11">
        <v>3838.1737229999999</v>
      </c>
      <c r="AN625" s="11">
        <v>44</v>
      </c>
      <c r="AO625" s="11">
        <v>68.421000000000006</v>
      </c>
      <c r="AP625" s="19">
        <v>9.7793602699999997</v>
      </c>
    </row>
    <row r="626" spans="2:42">
      <c r="B626" t="s">
        <v>116</v>
      </c>
      <c r="C626" t="s">
        <v>117</v>
      </c>
      <c r="D626" t="s">
        <v>118</v>
      </c>
      <c r="E626" t="s">
        <v>35</v>
      </c>
      <c r="F626" t="s">
        <v>36</v>
      </c>
      <c r="G626" t="s">
        <v>37</v>
      </c>
      <c r="H626" t="s">
        <v>38</v>
      </c>
      <c r="I626" t="s">
        <v>39</v>
      </c>
      <c r="J626" t="s">
        <v>40</v>
      </c>
      <c r="K626">
        <v>2021</v>
      </c>
      <c r="L626">
        <v>0.54249220430058998</v>
      </c>
      <c r="M626" s="17">
        <v>90.106313099999994</v>
      </c>
      <c r="N626" s="7">
        <f t="shared" si="81"/>
        <v>1.9642333686582529E-3</v>
      </c>
      <c r="O626" s="8">
        <v>2.0501261620000002</v>
      </c>
      <c r="P626" s="8">
        <f t="shared" si="82"/>
        <v>4.4690833292564E-5</v>
      </c>
      <c r="Q626" s="8">
        <v>0.19845232099999999</v>
      </c>
      <c r="R626" s="8">
        <f t="shared" si="83"/>
        <v>4.3260750283198409E-6</v>
      </c>
      <c r="S626" s="8">
        <v>0.24749964099999999</v>
      </c>
      <c r="T626" s="8">
        <f t="shared" si="84"/>
        <v>5.3952607409828447E-6</v>
      </c>
      <c r="U626" s="8">
        <v>6.2771959999999996E-3</v>
      </c>
      <c r="V626" s="8">
        <f t="shared" si="85"/>
        <v>1.3683700309793398E-7</v>
      </c>
      <c r="W626" s="8">
        <v>3.3676471999999999E-2</v>
      </c>
      <c r="X626" s="8">
        <f t="shared" si="86"/>
        <v>2.9829187135185833E-12</v>
      </c>
      <c r="Y626" s="8">
        <v>3.2582459999999998E-3</v>
      </c>
      <c r="Z626" s="8">
        <f t="shared" si="87"/>
        <v>7.1026716068102859E-8</v>
      </c>
      <c r="AA626" s="8">
        <v>1.2861277000000001E-2</v>
      </c>
      <c r="AB626" s="8">
        <f t="shared" si="88"/>
        <v>2.8036381223278473E-7</v>
      </c>
      <c r="AC626" s="8">
        <v>0.68839432</v>
      </c>
      <c r="AD626" s="18">
        <f t="shared" si="89"/>
        <v>1.5006352469867146E-5</v>
      </c>
      <c r="AE626" s="9">
        <v>79.5</v>
      </c>
      <c r="AF626" s="10">
        <v>81</v>
      </c>
      <c r="AG626" s="10">
        <v>73.599999999999994</v>
      </c>
      <c r="AH626" s="10">
        <v>86.2</v>
      </c>
      <c r="AI626" s="10">
        <v>82.9</v>
      </c>
      <c r="AJ626" s="10">
        <v>80.7</v>
      </c>
      <c r="AK626" s="11">
        <v>45873.527320000001</v>
      </c>
      <c r="AL626" s="11">
        <v>46.922216900000002</v>
      </c>
      <c r="AM626" s="11">
        <v>4698.7943230000001</v>
      </c>
      <c r="AN626" s="11">
        <v>33.200000000000003</v>
      </c>
      <c r="AO626" s="11">
        <v>68.248999999999995</v>
      </c>
      <c r="AP626" s="19">
        <v>3.74064234</v>
      </c>
    </row>
    <row r="627" spans="2:42">
      <c r="B627" t="s">
        <v>119</v>
      </c>
      <c r="C627" t="s">
        <v>120</v>
      </c>
      <c r="D627" t="s">
        <v>121</v>
      </c>
      <c r="E627" t="s">
        <v>35</v>
      </c>
      <c r="F627" t="s">
        <v>36</v>
      </c>
      <c r="G627" t="s">
        <v>37</v>
      </c>
      <c r="H627" t="s">
        <v>38</v>
      </c>
      <c r="I627" t="s">
        <v>39</v>
      </c>
      <c r="J627" t="s">
        <v>40</v>
      </c>
      <c r="K627">
        <v>2021</v>
      </c>
      <c r="L627">
        <v>0.91048442646988603</v>
      </c>
      <c r="M627" s="17">
        <v>11.864527799999999</v>
      </c>
      <c r="N627" s="7">
        <f t="shared" si="81"/>
        <v>8.674647809429576E-5</v>
      </c>
      <c r="O627" s="8">
        <v>0.48850623799999998</v>
      </c>
      <c r="P627" s="8">
        <f t="shared" si="82"/>
        <v>3.5716714889903864E-6</v>
      </c>
      <c r="Q627" s="8">
        <v>9.4453550000000008E-3</v>
      </c>
      <c r="R627" s="8">
        <f t="shared" si="83"/>
        <v>6.9058903515767999E-8</v>
      </c>
      <c r="S627" s="8">
        <v>2.6540616999999999E-2</v>
      </c>
      <c r="T627" s="8">
        <f t="shared" si="84"/>
        <v>1.9404944638416994E-7</v>
      </c>
      <c r="U627" s="8">
        <v>2.0538459999999998E-3</v>
      </c>
      <c r="V627" s="8">
        <f t="shared" si="85"/>
        <v>1.5016518992694927E-8</v>
      </c>
      <c r="W627" s="8">
        <v>6.7694829999999998E-3</v>
      </c>
      <c r="X627" s="8">
        <f t="shared" si="86"/>
        <v>1.097919915407326E-13</v>
      </c>
      <c r="Y627" s="8"/>
      <c r="Z627" s="8">
        <f t="shared" si="87"/>
        <v>0</v>
      </c>
      <c r="AA627" s="8">
        <v>3.9152320000000003E-3</v>
      </c>
      <c r="AB627" s="8">
        <f t="shared" si="88"/>
        <v>2.8625883191245574E-8</v>
      </c>
      <c r="AC627" s="8">
        <v>5.2098650000000003E-2</v>
      </c>
      <c r="AD627" s="18">
        <f t="shared" si="89"/>
        <v>3.8091481407017163E-7</v>
      </c>
      <c r="AE627" s="9">
        <v>96.2</v>
      </c>
      <c r="AF627" s="10">
        <v>95.7</v>
      </c>
      <c r="AG627" s="10">
        <v>93.4</v>
      </c>
      <c r="AH627" s="10">
        <v>99.5</v>
      </c>
      <c r="AI627" s="10">
        <v>96.7</v>
      </c>
      <c r="AJ627" s="10">
        <v>97.6</v>
      </c>
      <c r="AK627" s="11">
        <v>136772.44380000001</v>
      </c>
      <c r="AL627" s="11">
        <v>51.5843323</v>
      </c>
      <c r="AM627" s="11">
        <v>12151.909809999999</v>
      </c>
      <c r="AN627" s="11">
        <v>20.5</v>
      </c>
      <c r="AO627" s="11">
        <v>91.671999999999997</v>
      </c>
      <c r="AP627" s="19">
        <v>29.0815296</v>
      </c>
    </row>
    <row r="628" spans="2:42">
      <c r="B628" t="s">
        <v>122</v>
      </c>
      <c r="C628" t="s">
        <v>123</v>
      </c>
      <c r="D628" t="s">
        <v>124</v>
      </c>
      <c r="E628" t="s">
        <v>35</v>
      </c>
      <c r="F628" t="s">
        <v>36</v>
      </c>
      <c r="G628" t="s">
        <v>37</v>
      </c>
      <c r="H628" t="s">
        <v>38</v>
      </c>
      <c r="I628" t="s">
        <v>39</v>
      </c>
      <c r="J628" t="s">
        <v>40</v>
      </c>
      <c r="K628">
        <v>2021</v>
      </c>
      <c r="L628">
        <v>1.3259642391731099</v>
      </c>
      <c r="M628" s="17">
        <v>0.12078825</v>
      </c>
      <c r="N628" s="7">
        <f t="shared" si="81"/>
        <v>2.1264784374422735E-6</v>
      </c>
      <c r="O628" s="8">
        <v>5.1790342000000003E-2</v>
      </c>
      <c r="P628" s="8">
        <f t="shared" si="82"/>
        <v>9.1176952667797533E-7</v>
      </c>
      <c r="Q628" s="8">
        <v>1.039456E-3</v>
      </c>
      <c r="R628" s="8">
        <f t="shared" si="83"/>
        <v>1.8299634034519052E-8</v>
      </c>
      <c r="S628" s="8"/>
      <c r="T628" s="8">
        <f t="shared" si="84"/>
        <v>0</v>
      </c>
      <c r="U628" s="14">
        <v>6.7751199999999996E-5</v>
      </c>
      <c r="V628" s="8">
        <f t="shared" si="85"/>
        <v>1.1927606030457345E-9</v>
      </c>
      <c r="W628" s="8">
        <v>4.1019899999999998E-4</v>
      </c>
      <c r="X628" s="8">
        <f t="shared" si="86"/>
        <v>2.0998563216268119E-14</v>
      </c>
      <c r="Y628" s="8"/>
      <c r="Z628" s="8">
        <f t="shared" si="87"/>
        <v>0</v>
      </c>
      <c r="AA628" s="8">
        <v>1.0974380000000001E-3</v>
      </c>
      <c r="AB628" s="8">
        <f t="shared" si="88"/>
        <v>1.9320407766730407E-8</v>
      </c>
      <c r="AC628" s="8">
        <v>9.8534748000000005E-2</v>
      </c>
      <c r="AD628" s="18">
        <f t="shared" si="89"/>
        <v>1.7347052959274449E-6</v>
      </c>
      <c r="AE628" s="9">
        <v>62.9</v>
      </c>
      <c r="AF628" s="10">
        <v>77.099999999999994</v>
      </c>
      <c r="AG628" s="10">
        <v>77.8</v>
      </c>
      <c r="AH628" s="10">
        <v>74.3</v>
      </c>
      <c r="AI628" s="10">
        <v>77.099999999999994</v>
      </c>
      <c r="AJ628" s="10">
        <v>82.6</v>
      </c>
      <c r="AK628" s="11">
        <v>56802.010249999999</v>
      </c>
      <c r="AL628" s="11">
        <v>27.34375</v>
      </c>
      <c r="AM628" s="11">
        <v>4940.6542509999999</v>
      </c>
      <c r="AN628" s="11">
        <v>8.6</v>
      </c>
      <c r="AO628" s="11">
        <v>94.81</v>
      </c>
      <c r="AP628" s="19">
        <v>433.75096100000002</v>
      </c>
    </row>
    <row r="629" spans="2:42">
      <c r="B629" t="s">
        <v>125</v>
      </c>
      <c r="C629" t="s">
        <v>126</v>
      </c>
      <c r="D629" t="s">
        <v>127</v>
      </c>
      <c r="E629" t="s">
        <v>35</v>
      </c>
      <c r="F629" t="s">
        <v>36</v>
      </c>
      <c r="G629" t="s">
        <v>37</v>
      </c>
      <c r="H629" t="s">
        <v>38</v>
      </c>
      <c r="I629" t="s">
        <v>39</v>
      </c>
      <c r="J629" t="s">
        <v>40</v>
      </c>
      <c r="K629">
        <v>2021</v>
      </c>
      <c r="L629">
        <v>0.83715844628242297</v>
      </c>
      <c r="M629" s="17">
        <v>299.78648600000002</v>
      </c>
      <c r="N629" s="7">
        <f t="shared" si="81"/>
        <v>1.3184629986282082E-2</v>
      </c>
      <c r="O629" s="8">
        <v>2.5666033000000001E-2</v>
      </c>
      <c r="P629" s="8">
        <f t="shared" si="82"/>
        <v>1.1287938720516757E-6</v>
      </c>
      <c r="Q629" s="8">
        <v>1.7517990000000001E-3</v>
      </c>
      <c r="R629" s="8">
        <f t="shared" si="83"/>
        <v>7.7044238829828254E-8</v>
      </c>
      <c r="S629" s="8">
        <v>8.1654000000000004E-4</v>
      </c>
      <c r="T629" s="8">
        <f t="shared" si="84"/>
        <v>3.5911484579057278E-8</v>
      </c>
      <c r="U629" s="8">
        <v>9.959490000000001E-4</v>
      </c>
      <c r="V629" s="8">
        <f t="shared" si="85"/>
        <v>4.3801904566864478E-8</v>
      </c>
      <c r="W629" s="8">
        <v>5.6744320000000001E-3</v>
      </c>
      <c r="X629" s="8">
        <f t="shared" si="86"/>
        <v>1.9264107335663802E-12</v>
      </c>
      <c r="Y629" s="8"/>
      <c r="Z629" s="8">
        <f t="shared" si="87"/>
        <v>0</v>
      </c>
      <c r="AA629" s="8">
        <v>7.0542160000000003E-3</v>
      </c>
      <c r="AB629" s="8">
        <f t="shared" si="88"/>
        <v>3.102448981082851E-7</v>
      </c>
      <c r="AC629" s="8">
        <v>0.49663431800000002</v>
      </c>
      <c r="AD629" s="18">
        <f t="shared" si="89"/>
        <v>2.1842010988178936E-5</v>
      </c>
      <c r="AE629" s="9">
        <v>65.2</v>
      </c>
      <c r="AF629" s="10">
        <v>76.2</v>
      </c>
      <c r="AG629" s="10">
        <v>74.5</v>
      </c>
      <c r="AH629" s="10">
        <v>83.8</v>
      </c>
      <c r="AI629" s="10">
        <v>77.599999999999994</v>
      </c>
      <c r="AJ629" s="10">
        <v>67.099999999999994</v>
      </c>
      <c r="AK629" s="11">
        <v>22737.572939999998</v>
      </c>
      <c r="AL629" s="11">
        <v>43.064596899999998</v>
      </c>
      <c r="AM629" s="11">
        <v>2211.8967029999999</v>
      </c>
      <c r="AN629" s="11">
        <v>8.6</v>
      </c>
      <c r="AO629" s="11">
        <v>40.774999999999999</v>
      </c>
      <c r="AP629" s="19">
        <v>2.2046461100000001</v>
      </c>
    </row>
    <row r="630" spans="2:42">
      <c r="B630" t="s">
        <v>128</v>
      </c>
      <c r="C630" t="s">
        <v>129</v>
      </c>
      <c r="D630" t="s">
        <v>130</v>
      </c>
      <c r="E630" t="s">
        <v>35</v>
      </c>
      <c r="F630" t="s">
        <v>36</v>
      </c>
      <c r="G630" t="s">
        <v>37</v>
      </c>
      <c r="H630" t="s">
        <v>38</v>
      </c>
      <c r="I630" t="s">
        <v>39</v>
      </c>
      <c r="J630" t="s">
        <v>40</v>
      </c>
      <c r="K630">
        <v>2021</v>
      </c>
      <c r="L630">
        <v>0.12791968202477999</v>
      </c>
      <c r="M630" s="17">
        <v>299.78648600000002</v>
      </c>
      <c r="N630" s="7">
        <f t="shared" si="81"/>
        <v>1.911651202242759E-2</v>
      </c>
      <c r="O630" s="8">
        <v>0.94923896100000005</v>
      </c>
      <c r="P630" s="8">
        <f t="shared" si="82"/>
        <v>6.0530206855665848E-5</v>
      </c>
      <c r="Q630" s="8">
        <v>0.23736306500000001</v>
      </c>
      <c r="R630" s="8">
        <f t="shared" si="83"/>
        <v>1.5135952078082537E-5</v>
      </c>
      <c r="S630" s="8">
        <v>9.0077316000000004E-2</v>
      </c>
      <c r="T630" s="8">
        <f t="shared" si="84"/>
        <v>5.7439683730840662E-6</v>
      </c>
      <c r="U630" s="8">
        <v>7.9549999999999998E-4</v>
      </c>
      <c r="V630" s="8">
        <f t="shared" si="85"/>
        <v>5.0726720596208418E-8</v>
      </c>
      <c r="W630" s="8">
        <v>2.7640619999999999E-3</v>
      </c>
      <c r="X630" s="8">
        <f t="shared" si="86"/>
        <v>3.2346953896238784E-12</v>
      </c>
      <c r="Y630" s="8"/>
      <c r="Z630" s="8">
        <f t="shared" si="87"/>
        <v>0</v>
      </c>
      <c r="AA630" s="8">
        <v>9.1515620000000002E-3</v>
      </c>
      <c r="AB630" s="8">
        <f t="shared" si="88"/>
        <v>5.8356848346056361E-7</v>
      </c>
      <c r="AC630" s="8">
        <v>1.007951805</v>
      </c>
      <c r="AD630" s="18">
        <f t="shared" si="89"/>
        <v>6.4274154100162103E-5</v>
      </c>
      <c r="AE630" s="9">
        <v>35.200000000000003</v>
      </c>
      <c r="AF630" s="10">
        <v>36.200000000000003</v>
      </c>
      <c r="AG630" s="10">
        <v>40.1</v>
      </c>
      <c r="AH630" s="10">
        <v>52.4</v>
      </c>
      <c r="AI630" s="10">
        <v>40.5</v>
      </c>
      <c r="AJ630" s="10">
        <v>48.3</v>
      </c>
      <c r="AK630" s="11">
        <v>15682.07033</v>
      </c>
      <c r="AL630" s="11">
        <v>69.002123100000006</v>
      </c>
      <c r="AM630" s="11">
        <v>2401.1782069999999</v>
      </c>
      <c r="AN630" s="11">
        <v>21.4</v>
      </c>
      <c r="AO630" s="11">
        <v>42.997999999999998</v>
      </c>
      <c r="AP630" s="19">
        <v>2.8200678300000002</v>
      </c>
    </row>
    <row r="631" spans="2:42">
      <c r="B631" t="s">
        <v>131</v>
      </c>
      <c r="C631" t="s">
        <v>132</v>
      </c>
      <c r="D631" t="s">
        <v>133</v>
      </c>
      <c r="E631" t="s">
        <v>35</v>
      </c>
      <c r="F631" t="s">
        <v>36</v>
      </c>
      <c r="G631" t="s">
        <v>37</v>
      </c>
      <c r="H631" t="s">
        <v>38</v>
      </c>
      <c r="I631" t="s">
        <v>39</v>
      </c>
      <c r="J631" t="s">
        <v>40</v>
      </c>
      <c r="K631">
        <v>2021</v>
      </c>
      <c r="L631">
        <v>1.39404640126303</v>
      </c>
      <c r="M631" s="17">
        <v>12.1439947</v>
      </c>
      <c r="N631" s="7">
        <f t="shared" si="81"/>
        <v>1.7709440542067965E-4</v>
      </c>
      <c r="O631" s="8">
        <v>12.30364999</v>
      </c>
      <c r="P631" s="8">
        <f t="shared" si="82"/>
        <v>1.7942263919822041E-4</v>
      </c>
      <c r="Q631" s="8">
        <v>0.31661461000000002</v>
      </c>
      <c r="R631" s="8">
        <f t="shared" si="83"/>
        <v>4.617152550754191E-6</v>
      </c>
      <c r="S631" s="8">
        <v>1.793515905</v>
      </c>
      <c r="T631" s="8">
        <f t="shared" si="84"/>
        <v>2.6154625446971511E-5</v>
      </c>
      <c r="U631" s="8">
        <v>1.6797571000000001E-2</v>
      </c>
      <c r="V631" s="8">
        <f t="shared" si="85"/>
        <v>2.4495694557217248E-7</v>
      </c>
      <c r="W631" s="8">
        <v>0.17669558099999999</v>
      </c>
      <c r="X631" s="8">
        <f t="shared" si="86"/>
        <v>3.5721775001902519E-12</v>
      </c>
      <c r="Y631" s="8">
        <v>9.4567018000000003E-2</v>
      </c>
      <c r="Z631" s="8">
        <f t="shared" si="87"/>
        <v>1.3790593819278189E-6</v>
      </c>
      <c r="AA631" s="8">
        <v>6.3568237999999999E-2</v>
      </c>
      <c r="AB631" s="8">
        <f t="shared" si="88"/>
        <v>9.2700792369830775E-7</v>
      </c>
      <c r="AC631" s="8">
        <v>4.6185148659999999</v>
      </c>
      <c r="AD631" s="18">
        <f t="shared" si="89"/>
        <v>6.7351243501517655E-5</v>
      </c>
      <c r="AE631" s="9">
        <v>97.1</v>
      </c>
      <c r="AF631" s="10">
        <v>96.2</v>
      </c>
      <c r="AG631" s="10">
        <v>78.3</v>
      </c>
      <c r="AH631" s="10">
        <v>96.2</v>
      </c>
      <c r="AI631" s="10">
        <v>94.8</v>
      </c>
      <c r="AJ631" s="10">
        <v>96.6</v>
      </c>
      <c r="AK631" s="11">
        <v>68573.564880000005</v>
      </c>
      <c r="AL631" s="11">
        <v>53.816453799999998</v>
      </c>
      <c r="AM631" s="11">
        <v>6704.4262250000002</v>
      </c>
      <c r="AN631" s="11">
        <v>12.2</v>
      </c>
      <c r="AO631" s="11">
        <v>92.572000000000003</v>
      </c>
      <c r="AP631" s="19">
        <v>-10.95326</v>
      </c>
    </row>
    <row r="632" spans="2:42">
      <c r="B632" t="s">
        <v>134</v>
      </c>
      <c r="C632" t="s">
        <v>135</v>
      </c>
      <c r="D632" t="s">
        <v>136</v>
      </c>
      <c r="E632" t="s">
        <v>35</v>
      </c>
      <c r="F632" t="s">
        <v>36</v>
      </c>
      <c r="G632" t="s">
        <v>37</v>
      </c>
      <c r="H632" t="s">
        <v>38</v>
      </c>
      <c r="I632" t="s">
        <v>39</v>
      </c>
      <c r="J632" t="s">
        <v>40</v>
      </c>
      <c r="K632">
        <v>2021</v>
      </c>
      <c r="L632">
        <v>0.941455854740465</v>
      </c>
      <c r="M632" s="17">
        <v>84.562275600000007</v>
      </c>
      <c r="N632" s="7">
        <f t="shared" si="81"/>
        <v>9.503072891855639E-4</v>
      </c>
      <c r="O632" s="8">
        <v>2.8043023260000002</v>
      </c>
      <c r="P632" s="8">
        <f t="shared" si="82"/>
        <v>3.1514631347950994E-5</v>
      </c>
      <c r="Q632" s="8">
        <v>0.201253135</v>
      </c>
      <c r="R632" s="8">
        <f t="shared" si="83"/>
        <v>2.2616742490069215E-6</v>
      </c>
      <c r="S632" s="8">
        <v>4.2711547010000004</v>
      </c>
      <c r="T632" s="8">
        <f t="shared" si="84"/>
        <v>4.7999056515450345E-5</v>
      </c>
      <c r="U632" s="8">
        <v>3.647541E-2</v>
      </c>
      <c r="V632" s="8">
        <f t="shared" si="85"/>
        <v>4.0990912026771433E-7</v>
      </c>
      <c r="W632" s="8">
        <v>2.230917E-2</v>
      </c>
      <c r="X632" s="8">
        <f t="shared" si="86"/>
        <v>4.6065414173178996E-12</v>
      </c>
      <c r="Y632" s="8">
        <v>0.130823676</v>
      </c>
      <c r="Z632" s="8">
        <f t="shared" si="87"/>
        <v>1.4701909571228533E-6</v>
      </c>
      <c r="AA632" s="8">
        <v>3.5256279000000001E-2</v>
      </c>
      <c r="AB632" s="8">
        <f t="shared" si="88"/>
        <v>3.9620857747186644E-7</v>
      </c>
      <c r="AC632" s="8">
        <v>0.74696320599999999</v>
      </c>
      <c r="AD632" s="18">
        <f t="shared" si="89"/>
        <v>8.3943410271141979E-6</v>
      </c>
      <c r="AE632" s="9">
        <v>98.1</v>
      </c>
      <c r="AF632" s="10">
        <v>97.6</v>
      </c>
      <c r="AG632" s="10">
        <v>88.7</v>
      </c>
      <c r="AH632" s="10">
        <v>95.2</v>
      </c>
      <c r="AI632" s="10">
        <v>99.5</v>
      </c>
      <c r="AJ632" s="10">
        <v>100</v>
      </c>
      <c r="AK632" s="11">
        <v>88984.13867</v>
      </c>
      <c r="AL632" s="11">
        <v>2.7040382100000002</v>
      </c>
      <c r="AM632" s="11">
        <v>24650.16863</v>
      </c>
      <c r="AN632" s="11">
        <v>61.4</v>
      </c>
      <c r="AO632" s="11">
        <v>83.322999999999993</v>
      </c>
      <c r="AP632" s="19">
        <v>3.6464394200000001</v>
      </c>
    </row>
    <row r="633" spans="2:42">
      <c r="B633" t="s">
        <v>137</v>
      </c>
      <c r="C633" t="s">
        <v>138</v>
      </c>
      <c r="D633" t="s">
        <v>139</v>
      </c>
      <c r="E633" t="s">
        <v>35</v>
      </c>
      <c r="F633" t="s">
        <v>36</v>
      </c>
      <c r="G633" t="s">
        <v>37</v>
      </c>
      <c r="H633" t="s">
        <v>38</v>
      </c>
      <c r="I633" t="s">
        <v>39</v>
      </c>
      <c r="J633" t="s">
        <v>40</v>
      </c>
      <c r="K633">
        <v>2021</v>
      </c>
      <c r="L633">
        <v>0.56134004621033096</v>
      </c>
      <c r="M633" s="17">
        <v>1.2660553999999999</v>
      </c>
      <c r="N633" s="7">
        <f t="shared" si="81"/>
        <v>3.0834588483629574E-5</v>
      </c>
      <c r="O633" s="8">
        <v>19.78499274</v>
      </c>
      <c r="P633" s="8">
        <f t="shared" si="82"/>
        <v>4.8186051675898123E-4</v>
      </c>
      <c r="Q633" s="8">
        <v>4.010885021</v>
      </c>
      <c r="R633" s="8">
        <f t="shared" si="83"/>
        <v>9.7684500281495547E-5</v>
      </c>
      <c r="S633" s="8">
        <v>16.975091020000001</v>
      </c>
      <c r="T633" s="8">
        <f t="shared" si="84"/>
        <v>4.1342578379576108E-4</v>
      </c>
      <c r="U633" s="8">
        <v>0.120853295</v>
      </c>
      <c r="V633" s="8">
        <f t="shared" si="85"/>
        <v>2.9433637882004906E-6</v>
      </c>
      <c r="W633" s="8">
        <v>0.120019612</v>
      </c>
      <c r="X633" s="8">
        <f t="shared" si="86"/>
        <v>7.1685181522687833E-11</v>
      </c>
      <c r="Y633" s="8">
        <v>2.0167330000000001E-2</v>
      </c>
      <c r="Z633" s="8">
        <f t="shared" si="87"/>
        <v>4.9117228311143194E-7</v>
      </c>
      <c r="AA633" s="8">
        <v>0.213016546</v>
      </c>
      <c r="AB633" s="8">
        <f t="shared" si="88"/>
        <v>5.1879858781172996E-6</v>
      </c>
      <c r="AC633" s="8">
        <v>9.2052746699999997</v>
      </c>
      <c r="AD633" s="18">
        <f t="shared" si="89"/>
        <v>2.2419307743423312E-4</v>
      </c>
      <c r="AE633" s="9">
        <v>68.099999999999994</v>
      </c>
      <c r="AF633" s="10">
        <v>61.4</v>
      </c>
      <c r="AG633" s="10">
        <v>61.3</v>
      </c>
      <c r="AH633" s="10">
        <v>75.7</v>
      </c>
      <c r="AI633" s="10">
        <v>64.3</v>
      </c>
      <c r="AJ633" s="10">
        <v>63.8</v>
      </c>
      <c r="AK633" s="11">
        <v>41059.584779999997</v>
      </c>
      <c r="AL633" s="11">
        <v>47.369160399999998</v>
      </c>
      <c r="AM633" s="11">
        <v>4631.2001069999997</v>
      </c>
      <c r="AN633" s="11">
        <v>15.2</v>
      </c>
      <c r="AO633" s="11">
        <v>60.075000000000003</v>
      </c>
      <c r="AP633" s="19">
        <v>5.4430678500000003</v>
      </c>
    </row>
    <row r="634" spans="2:42">
      <c r="B634" t="s">
        <v>140</v>
      </c>
      <c r="C634" t="s">
        <v>141</v>
      </c>
      <c r="D634" t="s">
        <v>142</v>
      </c>
      <c r="E634" t="s">
        <v>35</v>
      </c>
      <c r="F634" t="s">
        <v>36</v>
      </c>
      <c r="G634" t="s">
        <v>37</v>
      </c>
      <c r="H634" t="s">
        <v>38</v>
      </c>
      <c r="I634" t="s">
        <v>39</v>
      </c>
      <c r="J634" t="s">
        <v>40</v>
      </c>
      <c r="K634">
        <v>2021</v>
      </c>
      <c r="L634">
        <v>0.81435888066861095</v>
      </c>
      <c r="M634" s="17">
        <v>55.788654399999999</v>
      </c>
      <c r="N634" s="7">
        <f t="shared" si="81"/>
        <v>1.4431458929204124E-3</v>
      </c>
      <c r="O634" s="8">
        <v>5.2390719619999997</v>
      </c>
      <c r="P634" s="8">
        <f t="shared" si="82"/>
        <v>1.3552478126582646E-4</v>
      </c>
      <c r="Q634" s="8">
        <v>0.29089388599999999</v>
      </c>
      <c r="R634" s="8">
        <f t="shared" si="83"/>
        <v>7.5248690145241908E-6</v>
      </c>
      <c r="S634" s="8">
        <v>0.79439943400000002</v>
      </c>
      <c r="T634" s="8">
        <f t="shared" si="84"/>
        <v>2.054959548397712E-5</v>
      </c>
      <c r="U634" s="8">
        <v>4.3900517999999999E-2</v>
      </c>
      <c r="V634" s="8">
        <f t="shared" si="85"/>
        <v>1.1356225191331847E-6</v>
      </c>
      <c r="W634" s="8">
        <v>5.3078066E-2</v>
      </c>
      <c r="X634" s="8">
        <f t="shared" si="86"/>
        <v>2.937638471515076E-11</v>
      </c>
      <c r="Y634" s="8">
        <v>2.9765899999999999E-3</v>
      </c>
      <c r="Z634" s="8">
        <f t="shared" si="87"/>
        <v>7.6998695874764997E-8</v>
      </c>
      <c r="AA634" s="8">
        <v>2.2632050000000001E-2</v>
      </c>
      <c r="AB634" s="8">
        <f t="shared" si="88"/>
        <v>5.8544789002599461E-7</v>
      </c>
      <c r="AC634" s="8">
        <v>3.7661981240000002</v>
      </c>
      <c r="AD634" s="18">
        <f t="shared" si="89"/>
        <v>9.7424349323886231E-5</v>
      </c>
      <c r="AE634" s="9">
        <v>77.099999999999994</v>
      </c>
      <c r="AF634" s="10">
        <v>80</v>
      </c>
      <c r="AG634" s="10">
        <v>81.099999999999994</v>
      </c>
      <c r="AH634" s="10">
        <v>73.3</v>
      </c>
      <c r="AI634" s="10">
        <v>84.3</v>
      </c>
      <c r="AJ634" s="10">
        <v>89.4</v>
      </c>
      <c r="AK634" s="11">
        <v>38657.667719999998</v>
      </c>
      <c r="AL634" s="11">
        <v>43.253856800000001</v>
      </c>
      <c r="AM634" s="11">
        <v>4901.6433489999999</v>
      </c>
      <c r="AN634" s="11">
        <v>32.299999999999997</v>
      </c>
      <c r="AO634" s="11">
        <v>66.849000000000004</v>
      </c>
      <c r="AP634" s="19">
        <v>3.6083600499999999</v>
      </c>
    </row>
    <row r="635" spans="2:42">
      <c r="B635" t="s">
        <v>143</v>
      </c>
      <c r="C635" t="s">
        <v>144</v>
      </c>
      <c r="D635" t="s">
        <v>145</v>
      </c>
      <c r="E635" t="s">
        <v>35</v>
      </c>
      <c r="F635" t="s">
        <v>36</v>
      </c>
      <c r="G635" t="s">
        <v>37</v>
      </c>
      <c r="H635" t="s">
        <v>38</v>
      </c>
      <c r="I635" t="s">
        <v>39</v>
      </c>
      <c r="J635" t="s">
        <v>40</v>
      </c>
      <c r="K635">
        <v>2021</v>
      </c>
      <c r="L635">
        <v>0.69905870788487101</v>
      </c>
      <c r="M635" s="17">
        <v>12.107050900000001</v>
      </c>
      <c r="N635" s="7">
        <f t="shared" si="81"/>
        <v>3.208834323770988E-4</v>
      </c>
      <c r="O635" s="8">
        <v>8.7695337119999994</v>
      </c>
      <c r="P635" s="8">
        <f t="shared" si="82"/>
        <v>2.3242638534320853E-4</v>
      </c>
      <c r="Q635" s="8">
        <v>1.2341836829999999</v>
      </c>
      <c r="R635" s="8">
        <f t="shared" si="83"/>
        <v>3.2710616289293798E-5</v>
      </c>
      <c r="S635" s="8">
        <v>2.9049225249999999</v>
      </c>
      <c r="T635" s="8">
        <f t="shared" si="84"/>
        <v>7.6991623997512754E-5</v>
      </c>
      <c r="U635" s="8">
        <v>2.8927600000000001E-2</v>
      </c>
      <c r="V635" s="8">
        <f t="shared" si="85"/>
        <v>7.6669270288041515E-7</v>
      </c>
      <c r="W635" s="8">
        <v>1.7234896E-2</v>
      </c>
      <c r="X635" s="8">
        <f t="shared" si="86"/>
        <v>2.0320306580914992E-11</v>
      </c>
      <c r="Y635" s="8">
        <v>4.8542905999999997E-2</v>
      </c>
      <c r="Z635" s="8">
        <f t="shared" si="87"/>
        <v>1.2865737844414993E-6</v>
      </c>
      <c r="AA635" s="8">
        <v>2.4297254000000001E-2</v>
      </c>
      <c r="AB635" s="8">
        <f t="shared" si="88"/>
        <v>6.4397071799361091E-7</v>
      </c>
      <c r="AC635" s="8">
        <v>8.7131945080000008</v>
      </c>
      <c r="AD635" s="18">
        <f t="shared" si="89"/>
        <v>2.309331796644488E-4</v>
      </c>
      <c r="AE635" s="9">
        <v>51.4</v>
      </c>
      <c r="AF635" s="10">
        <v>46.2</v>
      </c>
      <c r="AG635" s="10">
        <v>64.2</v>
      </c>
      <c r="AH635" s="10">
        <v>61.9</v>
      </c>
      <c r="AI635" s="10">
        <v>62.4</v>
      </c>
      <c r="AJ635" s="10">
        <v>64.3</v>
      </c>
      <c r="AK635" s="11">
        <v>37730.370840000003</v>
      </c>
      <c r="AL635" s="11">
        <v>56.845445099999999</v>
      </c>
      <c r="AM635" s="11">
        <v>2900.8382409999999</v>
      </c>
      <c r="AN635" s="11">
        <v>23.6</v>
      </c>
      <c r="AO635" s="11">
        <v>54.329000000000001</v>
      </c>
      <c r="AP635" s="19">
        <v>4.1066371999999998</v>
      </c>
    </row>
    <row r="636" spans="2:42">
      <c r="B636" t="s">
        <v>146</v>
      </c>
      <c r="C636" t="s">
        <v>147</v>
      </c>
      <c r="D636" t="s">
        <v>148</v>
      </c>
      <c r="E636" t="s">
        <v>35</v>
      </c>
      <c r="F636" t="s">
        <v>36</v>
      </c>
      <c r="G636" t="s">
        <v>37</v>
      </c>
      <c r="H636" t="s">
        <v>38</v>
      </c>
      <c r="I636" t="s">
        <v>39</v>
      </c>
      <c r="J636" t="s">
        <v>40</v>
      </c>
      <c r="K636">
        <v>2021</v>
      </c>
      <c r="L636">
        <v>0.95688439148045901</v>
      </c>
      <c r="M636" s="17">
        <v>1.2413413499999999</v>
      </c>
      <c r="N636" s="7">
        <f t="shared" si="81"/>
        <v>3.2372041950250722E-5</v>
      </c>
      <c r="O636" s="8">
        <v>1.5236983369999999</v>
      </c>
      <c r="P636" s="8">
        <f t="shared" si="82"/>
        <v>3.9735425300133007E-5</v>
      </c>
      <c r="Q636" s="8">
        <v>0.28383886400000002</v>
      </c>
      <c r="R636" s="8">
        <f t="shared" si="83"/>
        <v>7.4020281468264236E-6</v>
      </c>
      <c r="S636" s="8">
        <v>0.77806085899999999</v>
      </c>
      <c r="T636" s="8">
        <f t="shared" si="84"/>
        <v>2.0290485584320634E-5</v>
      </c>
      <c r="U636" s="8">
        <v>2.3748811000000002E-2</v>
      </c>
      <c r="V636" s="8">
        <f t="shared" si="85"/>
        <v>6.1932804055917082E-7</v>
      </c>
      <c r="W636" s="8">
        <v>2.3271312999999998E-2</v>
      </c>
      <c r="X636" s="8">
        <f t="shared" si="86"/>
        <v>1.6151007384027014E-11</v>
      </c>
      <c r="Y636" s="8">
        <v>1.5142243999999999E-2</v>
      </c>
      <c r="Z636" s="8">
        <f t="shared" si="87"/>
        <v>3.9488361359180718E-7</v>
      </c>
      <c r="AA636" s="8">
        <v>5.5290629999999999E-3</v>
      </c>
      <c r="AB636" s="8">
        <f t="shared" si="88"/>
        <v>1.4418842921939169E-7</v>
      </c>
      <c r="AC636" s="8">
        <v>3.5070123299999998</v>
      </c>
      <c r="AD636" s="18">
        <f t="shared" si="89"/>
        <v>9.1456834388709059E-5</v>
      </c>
      <c r="AE636" s="9">
        <v>60</v>
      </c>
      <c r="AF636" s="10">
        <v>68.599999999999994</v>
      </c>
      <c r="AG636" s="10">
        <v>65.599999999999994</v>
      </c>
      <c r="AH636" s="10">
        <v>77.599999999999994</v>
      </c>
      <c r="AI636" s="10">
        <v>72.900000000000006</v>
      </c>
      <c r="AJ636" s="10">
        <v>75.8</v>
      </c>
      <c r="AK636" s="11">
        <v>38346.093580000001</v>
      </c>
      <c r="AL636" s="11">
        <v>38.602329500000003</v>
      </c>
      <c r="AM636" s="11">
        <v>5404.5649110000004</v>
      </c>
      <c r="AN636" s="11">
        <v>17.899999999999999</v>
      </c>
      <c r="AO636" s="11">
        <v>53.82</v>
      </c>
      <c r="AP636" s="19">
        <v>2.2558493400000001</v>
      </c>
    </row>
    <row r="637" spans="2:42">
      <c r="B637" t="s">
        <v>149</v>
      </c>
      <c r="C637" t="s">
        <v>150</v>
      </c>
      <c r="D637" t="s">
        <v>151</v>
      </c>
      <c r="E637" t="s">
        <v>35</v>
      </c>
      <c r="F637" t="s">
        <v>36</v>
      </c>
      <c r="G637" t="s">
        <v>37</v>
      </c>
      <c r="H637" t="s">
        <v>38</v>
      </c>
      <c r="I637" t="s">
        <v>39</v>
      </c>
      <c r="J637" t="s">
        <v>40</v>
      </c>
      <c r="K637">
        <v>2021</v>
      </c>
      <c r="L637">
        <v>0.660054665846871</v>
      </c>
      <c r="M637" s="17">
        <v>85.506725799999998</v>
      </c>
      <c r="N637" s="7">
        <f t="shared" si="81"/>
        <v>1.862321278928649E-3</v>
      </c>
      <c r="O637" s="8">
        <v>1.6029779230000001</v>
      </c>
      <c r="P637" s="8">
        <f t="shared" si="82"/>
        <v>3.4912574042868443E-5</v>
      </c>
      <c r="Q637" s="8">
        <v>0.16153815399999999</v>
      </c>
      <c r="R637" s="8">
        <f t="shared" si="83"/>
        <v>3.5182722614909555E-6</v>
      </c>
      <c r="S637" s="8">
        <v>0.87377568900000002</v>
      </c>
      <c r="T637" s="8">
        <f t="shared" si="84"/>
        <v>1.9030679088816676E-5</v>
      </c>
      <c r="U637" s="8">
        <v>5.5223379999999999E-3</v>
      </c>
      <c r="V637" s="8">
        <f t="shared" si="85"/>
        <v>1.20275539387292E-7</v>
      </c>
      <c r="W637" s="8">
        <v>4.5879060000000001E-3</v>
      </c>
      <c r="X637" s="8">
        <f t="shared" si="86"/>
        <v>2.6195798545659521E-12</v>
      </c>
      <c r="Y637" s="8">
        <v>6.7762739999999997E-3</v>
      </c>
      <c r="Z637" s="8">
        <f t="shared" si="87"/>
        <v>1.4758604243095636E-7</v>
      </c>
      <c r="AA637" s="8">
        <v>5.6933360000000002E-3</v>
      </c>
      <c r="AB637" s="8">
        <f t="shared" si="88"/>
        <v>1.2399984541204968E-7</v>
      </c>
      <c r="AC637" s="8">
        <v>0.44694371599999999</v>
      </c>
      <c r="AD637" s="18">
        <f t="shared" si="89"/>
        <v>9.7343546370505848E-6</v>
      </c>
      <c r="AE637" s="9">
        <v>75.2</v>
      </c>
      <c r="AF637" s="10">
        <v>83.8</v>
      </c>
      <c r="AG637" s="10">
        <v>71.2</v>
      </c>
      <c r="AH637" s="10">
        <v>74.8</v>
      </c>
      <c r="AI637" s="10">
        <v>82.4</v>
      </c>
      <c r="AJ637" s="10">
        <v>76.3</v>
      </c>
      <c r="AK637" s="11">
        <v>45914.057240000002</v>
      </c>
      <c r="AL637" s="11">
        <v>30.341073900000001</v>
      </c>
      <c r="AM637" s="11">
        <v>7006.3787929999999</v>
      </c>
      <c r="AN637" s="11">
        <v>23.4</v>
      </c>
      <c r="AO637" s="11">
        <v>55.427</v>
      </c>
      <c r="AP637" s="19">
        <v>3.6068157099999998</v>
      </c>
    </row>
    <row r="638" spans="2:42">
      <c r="B638" t="s">
        <v>152</v>
      </c>
      <c r="C638" t="s">
        <v>153</v>
      </c>
      <c r="D638" t="s">
        <v>154</v>
      </c>
      <c r="E638" t="s">
        <v>35</v>
      </c>
      <c r="F638" t="s">
        <v>36</v>
      </c>
      <c r="G638" t="s">
        <v>37</v>
      </c>
      <c r="H638" t="s">
        <v>38</v>
      </c>
      <c r="I638" t="s">
        <v>39</v>
      </c>
      <c r="J638" t="s">
        <v>40</v>
      </c>
      <c r="K638">
        <v>2021</v>
      </c>
      <c r="L638">
        <v>0.96899498200509004</v>
      </c>
      <c r="M638" s="17">
        <v>1.2413413499999999</v>
      </c>
      <c r="N638" s="7">
        <f t="shared" si="81"/>
        <v>2.805185583406812E-5</v>
      </c>
      <c r="O638" s="8">
        <v>28.822610059999999</v>
      </c>
      <c r="P638" s="8">
        <f t="shared" si="82"/>
        <v>6.5133389954719675E-4</v>
      </c>
      <c r="Q638" s="8">
        <v>0.82296862199999998</v>
      </c>
      <c r="R638" s="8">
        <f t="shared" si="83"/>
        <v>1.8597460835656288E-5</v>
      </c>
      <c r="S638" s="8">
        <v>1.256691982</v>
      </c>
      <c r="T638" s="8">
        <f t="shared" si="84"/>
        <v>2.839874971287578E-5</v>
      </c>
      <c r="U638" s="8">
        <v>9.4770971999999995E-2</v>
      </c>
      <c r="V638" s="8">
        <f t="shared" si="85"/>
        <v>2.1416362580675386E-6</v>
      </c>
      <c r="W638" s="8">
        <v>0.129893851</v>
      </c>
      <c r="X638" s="8">
        <f t="shared" si="86"/>
        <v>4.8396737577720833E-11</v>
      </c>
      <c r="Y638" s="8">
        <v>3.9189758999999998E-2</v>
      </c>
      <c r="Z638" s="8">
        <f t="shared" si="87"/>
        <v>8.8561093178751648E-7</v>
      </c>
      <c r="AA638" s="8">
        <v>0.14732163300000001</v>
      </c>
      <c r="AB638" s="8">
        <f t="shared" si="88"/>
        <v>3.3291771116425735E-6</v>
      </c>
      <c r="AC638" s="8">
        <v>15.075348480000001</v>
      </c>
      <c r="AD638" s="18">
        <f t="shared" si="89"/>
        <v>3.4067301649888488E-4</v>
      </c>
      <c r="AE638" s="9">
        <v>75.7</v>
      </c>
      <c r="AF638" s="10">
        <v>78.099999999999994</v>
      </c>
      <c r="AG638" s="10">
        <v>61.8</v>
      </c>
      <c r="AH638" s="10">
        <v>73.8</v>
      </c>
      <c r="AI638" s="10">
        <v>78.099999999999994</v>
      </c>
      <c r="AJ638" s="10">
        <v>79.2</v>
      </c>
      <c r="AK638" s="11">
        <v>44251.665820000002</v>
      </c>
      <c r="AL638" s="11">
        <v>52.484894099999998</v>
      </c>
      <c r="AM638" s="11">
        <v>5236.4247809999997</v>
      </c>
      <c r="AN638" s="11">
        <v>19</v>
      </c>
      <c r="AO638" s="11">
        <v>81.055999999999997</v>
      </c>
      <c r="AP638" s="19">
        <v>4.4227290200000002</v>
      </c>
    </row>
    <row r="639" spans="2:42">
      <c r="B639" t="s">
        <v>155</v>
      </c>
      <c r="C639" t="s">
        <v>156</v>
      </c>
      <c r="D639" t="s">
        <v>157</v>
      </c>
      <c r="E639" t="s">
        <v>35</v>
      </c>
      <c r="F639" t="s">
        <v>36</v>
      </c>
      <c r="G639" t="s">
        <v>37</v>
      </c>
      <c r="H639" t="s">
        <v>38</v>
      </c>
      <c r="I639" t="s">
        <v>39</v>
      </c>
      <c r="J639" t="s">
        <v>40</v>
      </c>
      <c r="K639">
        <v>2021</v>
      </c>
      <c r="L639">
        <v>0.561427913980175</v>
      </c>
      <c r="M639" s="17">
        <v>53.925285500000001</v>
      </c>
      <c r="N639" s="7">
        <f t="shared" si="81"/>
        <v>8.5961778442218164E-4</v>
      </c>
      <c r="O639" s="8">
        <v>3.8530573170000002</v>
      </c>
      <c r="P639" s="8">
        <f t="shared" si="82"/>
        <v>6.1421215731740828E-5</v>
      </c>
      <c r="Q639" s="8">
        <v>0.36752071600000003</v>
      </c>
      <c r="R639" s="8">
        <f t="shared" si="83"/>
        <v>5.8586123501779856E-6</v>
      </c>
      <c r="S639" s="8">
        <v>0.18376313399999999</v>
      </c>
      <c r="T639" s="8">
        <f t="shared" si="84"/>
        <v>2.9293504270377291E-6</v>
      </c>
      <c r="U639" s="8">
        <v>0.184479637</v>
      </c>
      <c r="V639" s="8">
        <f t="shared" si="85"/>
        <v>2.940772132378387E-6</v>
      </c>
      <c r="W639" s="8">
        <v>0.23237366100000001</v>
      </c>
      <c r="X639" s="8">
        <f t="shared" si="86"/>
        <v>4.6878565435237309E-11</v>
      </c>
      <c r="Y639" s="8">
        <v>1.4211972999999999E-2</v>
      </c>
      <c r="Z639" s="8">
        <f t="shared" si="87"/>
        <v>2.2655169331514925E-7</v>
      </c>
      <c r="AA639" s="8">
        <v>6.1366458999999998E-2</v>
      </c>
      <c r="AB639" s="8">
        <f t="shared" si="88"/>
        <v>9.7823681477615253E-7</v>
      </c>
      <c r="AC639" s="8">
        <v>3.132657424</v>
      </c>
      <c r="AD639" s="18">
        <f t="shared" si="89"/>
        <v>4.9937390394948932E-5</v>
      </c>
      <c r="AE639" s="9">
        <v>97.6</v>
      </c>
      <c r="AF639" s="10">
        <v>95.2</v>
      </c>
      <c r="AG639" s="10">
        <v>84.4</v>
      </c>
      <c r="AH639" s="10">
        <v>96.7</v>
      </c>
      <c r="AI639" s="10">
        <v>95.2</v>
      </c>
      <c r="AJ639" s="10">
        <v>97.1</v>
      </c>
      <c r="AK639" s="11">
        <v>62731.700620000003</v>
      </c>
      <c r="AL639" s="11">
        <v>7.3733058299999996</v>
      </c>
      <c r="AM639" s="11">
        <v>13017.99735</v>
      </c>
      <c r="AN639" s="11">
        <v>57.9</v>
      </c>
      <c r="AO639" s="11">
        <v>88.238</v>
      </c>
      <c r="AP639" s="19">
        <v>9.0995466599999997</v>
      </c>
    </row>
    <row r="640" spans="2:42">
      <c r="B640" t="s">
        <v>158</v>
      </c>
      <c r="C640" t="s">
        <v>159</v>
      </c>
      <c r="D640" t="s">
        <v>160</v>
      </c>
      <c r="E640" t="s">
        <v>35</v>
      </c>
      <c r="F640" t="s">
        <v>36</v>
      </c>
      <c r="G640" t="s">
        <v>37</v>
      </c>
      <c r="H640" t="s">
        <v>38</v>
      </c>
      <c r="I640" t="s">
        <v>39</v>
      </c>
      <c r="J640" t="s">
        <v>40</v>
      </c>
      <c r="K640">
        <v>2021</v>
      </c>
      <c r="L640">
        <v>0.55349592649384105</v>
      </c>
      <c r="M640" s="17">
        <v>85.506725799999998</v>
      </c>
      <c r="N640" s="7">
        <f t="shared" si="81"/>
        <v>1.0556201999163393E-3</v>
      </c>
      <c r="O640" s="8">
        <v>4.0625948699999999</v>
      </c>
      <c r="P640" s="8">
        <f t="shared" si="82"/>
        <v>5.0154618466849241E-5</v>
      </c>
      <c r="Q640" s="8">
        <v>0.29580602</v>
      </c>
      <c r="R640" s="8">
        <f t="shared" si="83"/>
        <v>3.6518625528853623E-6</v>
      </c>
      <c r="S640" s="8">
        <v>1.0595332850000001</v>
      </c>
      <c r="T640" s="8">
        <f t="shared" si="84"/>
        <v>1.3080429962267552E-5</v>
      </c>
      <c r="U640" s="8">
        <v>2.0365487000000002E-2</v>
      </c>
      <c r="V640" s="8">
        <f t="shared" si="85"/>
        <v>2.5142138536116903E-7</v>
      </c>
      <c r="W640" s="8">
        <v>4.8915004999999998E-2</v>
      </c>
      <c r="X640" s="8">
        <f t="shared" si="86"/>
        <v>3.1039136465005453E-12</v>
      </c>
      <c r="Y640" s="8">
        <v>2.8787769999999999E-3</v>
      </c>
      <c r="Z640" s="8">
        <f t="shared" si="87"/>
        <v>3.5539837642275382E-8</v>
      </c>
      <c r="AA640" s="8">
        <v>2.3352455000000001E-2</v>
      </c>
      <c r="AB640" s="8">
        <f t="shared" si="88"/>
        <v>2.8829689109248197E-7</v>
      </c>
      <c r="AC640" s="8">
        <v>0.23019250899999999</v>
      </c>
      <c r="AD640" s="18">
        <f t="shared" si="89"/>
        <v>2.8418333189156418E-6</v>
      </c>
      <c r="AE640" s="9">
        <v>96.7</v>
      </c>
      <c r="AF640" s="10">
        <v>99</v>
      </c>
      <c r="AG640" s="10">
        <v>89.6</v>
      </c>
      <c r="AH640" s="10">
        <v>95.7</v>
      </c>
      <c r="AI640" s="10">
        <v>97.6</v>
      </c>
      <c r="AJ640" s="10">
        <v>98.1</v>
      </c>
      <c r="AK640" s="11">
        <v>81001.411120000004</v>
      </c>
      <c r="AL640" s="11">
        <v>37.949692300000002</v>
      </c>
      <c r="AM640" s="11">
        <v>7315.37291</v>
      </c>
      <c r="AN640" s="11">
        <v>27.7</v>
      </c>
      <c r="AO640" s="11">
        <v>73.995999999999995</v>
      </c>
      <c r="AP640" s="19">
        <v>-15.121442999999999</v>
      </c>
    </row>
    <row r="641" spans="2:42">
      <c r="B641" t="s">
        <v>161</v>
      </c>
      <c r="C641" t="s">
        <v>162</v>
      </c>
      <c r="D641" t="s">
        <v>163</v>
      </c>
      <c r="E641" t="s">
        <v>35</v>
      </c>
      <c r="F641" t="s">
        <v>36</v>
      </c>
      <c r="G641" t="s">
        <v>37</v>
      </c>
      <c r="H641" t="s">
        <v>38</v>
      </c>
      <c r="I641" t="s">
        <v>39</v>
      </c>
      <c r="J641" t="s">
        <v>40</v>
      </c>
      <c r="K641">
        <v>2021</v>
      </c>
      <c r="L641">
        <v>0.26543451170891702</v>
      </c>
      <c r="M641" s="17">
        <v>87.075443699999994</v>
      </c>
      <c r="N641" s="7">
        <f t="shared" si="81"/>
        <v>2.7785660589882554E-3</v>
      </c>
      <c r="O641" s="8">
        <v>50.008341379999997</v>
      </c>
      <c r="P641" s="8">
        <f t="shared" si="82"/>
        <v>1.5957596553110175E-3</v>
      </c>
      <c r="Q641" s="8">
        <v>1.021709102</v>
      </c>
      <c r="R641" s="8">
        <f t="shared" si="83"/>
        <v>3.2602604274488117E-5</v>
      </c>
      <c r="S641" s="8">
        <v>8.8888262020000006</v>
      </c>
      <c r="T641" s="8">
        <f t="shared" si="84"/>
        <v>2.836412855295354E-4</v>
      </c>
      <c r="U641" s="8">
        <v>0.122399786</v>
      </c>
      <c r="V641" s="8">
        <f t="shared" si="85"/>
        <v>3.9057612175799442E-6</v>
      </c>
      <c r="W641" s="8">
        <v>0.129836968</v>
      </c>
      <c r="X641" s="8">
        <f t="shared" si="86"/>
        <v>1.2463233137312486E-10</v>
      </c>
      <c r="Y641" s="8">
        <v>2.4640876999999999E-2</v>
      </c>
      <c r="Z641" s="8">
        <f t="shared" si="87"/>
        <v>7.862871733595811E-7</v>
      </c>
      <c r="AA641" s="8">
        <v>0.29762441699999997</v>
      </c>
      <c r="AB641" s="8">
        <f t="shared" si="88"/>
        <v>9.497156353879907E-6</v>
      </c>
      <c r="AC641" s="8">
        <v>62.589938500000002</v>
      </c>
      <c r="AD641" s="18">
        <f t="shared" si="89"/>
        <v>1.9972367795153974E-3</v>
      </c>
      <c r="AE641" s="9">
        <v>39.5</v>
      </c>
      <c r="AF641" s="10">
        <v>48.6</v>
      </c>
      <c r="AG641" s="10">
        <v>11.8</v>
      </c>
      <c r="AH641" s="10">
        <v>48.1</v>
      </c>
      <c r="AI641" s="10">
        <v>35.700000000000003</v>
      </c>
      <c r="AJ641" s="10">
        <v>23.7</v>
      </c>
      <c r="AK641" s="11">
        <v>31338.266520000001</v>
      </c>
      <c r="AL641" s="11">
        <v>49.490014700000003</v>
      </c>
      <c r="AM641" s="11">
        <v>3587.4583670000002</v>
      </c>
      <c r="AN641" s="11">
        <v>12</v>
      </c>
      <c r="AO641" s="11">
        <v>76.569000000000003</v>
      </c>
      <c r="AP641" s="19">
        <v>1.54586384</v>
      </c>
    </row>
    <row r="642" spans="2:42">
      <c r="B642" t="s">
        <v>164</v>
      </c>
      <c r="C642" t="s">
        <v>165</v>
      </c>
      <c r="D642" t="s">
        <v>166</v>
      </c>
      <c r="E642" t="s">
        <v>35</v>
      </c>
      <c r="F642" t="s">
        <v>36</v>
      </c>
      <c r="G642" t="s">
        <v>37</v>
      </c>
      <c r="H642" t="s">
        <v>38</v>
      </c>
      <c r="I642" t="s">
        <v>39</v>
      </c>
      <c r="J642" t="s">
        <v>40</v>
      </c>
      <c r="K642">
        <v>2021</v>
      </c>
      <c r="L642">
        <v>0.199801569090714</v>
      </c>
      <c r="M642" s="17">
        <v>53.056641200000001</v>
      </c>
      <c r="N642" s="7">
        <f t="shared" si="81"/>
        <v>1.9760973923174753E-2</v>
      </c>
      <c r="O642" s="8">
        <v>19.528568759999999</v>
      </c>
      <c r="P642" s="8">
        <f t="shared" si="82"/>
        <v>7.273425706851664E-3</v>
      </c>
      <c r="Q642" s="8">
        <v>3.8473811439999999</v>
      </c>
      <c r="R642" s="8">
        <f t="shared" si="83"/>
        <v>1.4329591308372956E-3</v>
      </c>
      <c r="S642" s="8">
        <v>8.6129187900000002</v>
      </c>
      <c r="T642" s="8">
        <f t="shared" si="84"/>
        <v>3.2078861338024514E-3</v>
      </c>
      <c r="U642" s="8">
        <v>0.25548923099999998</v>
      </c>
      <c r="V642" s="8">
        <f t="shared" si="85"/>
        <v>9.5157098475411416E-5</v>
      </c>
      <c r="W642" s="8">
        <v>3.7506639999999999E-3</v>
      </c>
      <c r="X642" s="8">
        <f t="shared" si="86"/>
        <v>3.5441311380592579E-8</v>
      </c>
      <c r="Y642" s="8"/>
      <c r="Z642" s="8">
        <f t="shared" si="87"/>
        <v>0</v>
      </c>
      <c r="AA642" s="8">
        <v>2.5470886000000002E-2</v>
      </c>
      <c r="AB642" s="8">
        <f t="shared" si="88"/>
        <v>9.4866448885979791E-6</v>
      </c>
      <c r="AC642" s="8">
        <v>3.5446777119999999</v>
      </c>
      <c r="AD642" s="18">
        <f t="shared" si="89"/>
        <v>1.3202170783643717E-3</v>
      </c>
      <c r="AE642" s="9">
        <v>16.2</v>
      </c>
      <c r="AF642" s="10">
        <v>31.4</v>
      </c>
      <c r="AG642" s="10">
        <v>17.899999999999999</v>
      </c>
      <c r="AH642" s="10">
        <v>34.799999999999997</v>
      </c>
      <c r="AI642" s="10">
        <v>39.5</v>
      </c>
      <c r="AJ642" s="10">
        <v>25.6</v>
      </c>
      <c r="AK642" s="11">
        <v>2684.9203590000002</v>
      </c>
      <c r="AL642" s="11">
        <v>71.888091000000003</v>
      </c>
      <c r="AM642" s="11">
        <v>84.25009034</v>
      </c>
      <c r="AN642" s="11">
        <v>91</v>
      </c>
      <c r="AO642" s="11">
        <v>25.553000000000001</v>
      </c>
      <c r="AP642" s="19">
        <v>4.0667372100000003</v>
      </c>
    </row>
    <row r="643" spans="2:42">
      <c r="B643" t="s">
        <v>167</v>
      </c>
      <c r="C643" t="s">
        <v>168</v>
      </c>
      <c r="D643" t="s">
        <v>169</v>
      </c>
      <c r="E643" t="s">
        <v>35</v>
      </c>
      <c r="F643" t="s">
        <v>36</v>
      </c>
      <c r="G643" t="s">
        <v>37</v>
      </c>
      <c r="H643" t="s">
        <v>38</v>
      </c>
      <c r="I643" t="s">
        <v>39</v>
      </c>
      <c r="J643" t="s">
        <v>40</v>
      </c>
      <c r="K643">
        <v>2021</v>
      </c>
      <c r="L643">
        <v>0.194531661261483</v>
      </c>
      <c r="M643" s="17">
        <v>51568.25</v>
      </c>
      <c r="N643" s="7">
        <f t="shared" ref="N643:N645" si="90">M643/AK643</f>
        <v>2.88955903182804</v>
      </c>
      <c r="O643" s="8">
        <v>11.40623312</v>
      </c>
      <c r="P643" s="8">
        <f t="shared" ref="P643:P645" si="91">O643/AK643</f>
        <v>6.3913326380150815E-4</v>
      </c>
      <c r="Q643" s="8">
        <v>0.81441429099999996</v>
      </c>
      <c r="R643" s="8">
        <f t="shared" ref="R643:R645" si="92">Q643/AK643</f>
        <v>4.5634633135870999E-5</v>
      </c>
      <c r="S643" s="8">
        <v>40.759991190000001</v>
      </c>
      <c r="T643" s="8">
        <f t="shared" ref="T643:T645" si="93">S643/AK643</f>
        <v>2.2839324716331434E-3</v>
      </c>
      <c r="U643" s="8">
        <v>4.4255002000000002E-2</v>
      </c>
      <c r="V643" s="8">
        <f t="shared" ref="V643:V645" si="94">U643/AK643</f>
        <v>2.4797708034045752E-6</v>
      </c>
      <c r="W643" s="8">
        <v>8.2468723999999993E-2</v>
      </c>
      <c r="X643" s="8">
        <f t="shared" ref="X643:X645" si="95">V643/AK643</f>
        <v>1.3895069392196101E-10</v>
      </c>
      <c r="Y643" s="8">
        <v>0.105799487</v>
      </c>
      <c r="Z643" s="8">
        <f t="shared" ref="Z643:Z645" si="96">Y643/AK643</f>
        <v>5.9283350360662482E-6</v>
      </c>
      <c r="AA643" s="8">
        <v>9.9429447000000004E-2</v>
      </c>
      <c r="AB643" s="8">
        <f t="shared" ref="AB643:AB645" si="97">AA643/AK643</f>
        <v>5.5713982267871687E-6</v>
      </c>
      <c r="AC643" s="8">
        <v>9.8949738200000006</v>
      </c>
      <c r="AD643" s="18">
        <f t="shared" ref="AD643:AD645" si="98">AC643/AK643</f>
        <v>5.5445183754118091E-4</v>
      </c>
      <c r="AE643" s="9">
        <v>24.3</v>
      </c>
      <c r="AF643" s="10">
        <v>35.200000000000003</v>
      </c>
      <c r="AG643" s="10">
        <v>12.7</v>
      </c>
      <c r="AH643" s="10">
        <v>42.4</v>
      </c>
      <c r="AI643" s="10">
        <v>25.7</v>
      </c>
      <c r="AJ643" s="10">
        <v>49.8</v>
      </c>
      <c r="AK643" s="11">
        <v>17846.408200000002</v>
      </c>
      <c r="AL643" s="11">
        <v>71.299620300000001</v>
      </c>
      <c r="AM643" s="11">
        <v>3165.1761769999998</v>
      </c>
      <c r="AN643" s="11">
        <v>8.9</v>
      </c>
      <c r="AO643" s="11">
        <v>69.757000000000005</v>
      </c>
      <c r="AP643" s="19">
        <v>3.98166134</v>
      </c>
    </row>
    <row r="644" spans="2:42">
      <c r="B644" t="s">
        <v>170</v>
      </c>
      <c r="C644" t="s">
        <v>171</v>
      </c>
      <c r="D644" t="s">
        <v>172</v>
      </c>
      <c r="E644" t="s">
        <v>35</v>
      </c>
      <c r="F644" t="s">
        <v>36</v>
      </c>
      <c r="G644" t="s">
        <v>37</v>
      </c>
      <c r="H644" t="s">
        <v>38</v>
      </c>
      <c r="I644" t="s">
        <v>39</v>
      </c>
      <c r="J644" t="s">
        <v>40</v>
      </c>
      <c r="K644">
        <v>2021</v>
      </c>
      <c r="L644">
        <v>0.71521854907136395</v>
      </c>
      <c r="M644" s="17">
        <v>281.54438499999998</v>
      </c>
      <c r="N644" s="7">
        <f t="shared" si="90"/>
        <v>5.519998961298009E-3</v>
      </c>
      <c r="O644" s="8">
        <v>32.167793029999999</v>
      </c>
      <c r="P644" s="8">
        <f t="shared" si="91"/>
        <v>6.3068629165823834E-4</v>
      </c>
      <c r="Q644" s="8">
        <v>0.83671249400000003</v>
      </c>
      <c r="R644" s="8">
        <f t="shared" si="92"/>
        <v>1.6404703286073588E-5</v>
      </c>
      <c r="S644" s="8">
        <v>3.9936744129999999</v>
      </c>
      <c r="T644" s="8">
        <f t="shared" si="93"/>
        <v>7.8300544376057923E-5</v>
      </c>
      <c r="U644" s="8">
        <v>7.6727411999999995E-2</v>
      </c>
      <c r="V644" s="8">
        <f t="shared" si="94"/>
        <v>1.5043284721983869E-6</v>
      </c>
      <c r="W644" s="8">
        <v>0.37618305400000002</v>
      </c>
      <c r="X644" s="8">
        <f t="shared" si="95"/>
        <v>2.9494076409963275E-11</v>
      </c>
      <c r="Y644" s="8">
        <v>6.6195001000000003E-2</v>
      </c>
      <c r="Z644" s="8">
        <f t="shared" si="96"/>
        <v>1.2978285351459619E-6</v>
      </c>
      <c r="AA644" s="8">
        <v>0.121690983</v>
      </c>
      <c r="AB644" s="8">
        <f t="shared" si="97"/>
        <v>2.3858905932694547E-6</v>
      </c>
      <c r="AC644" s="8">
        <v>9.2214970649999994</v>
      </c>
      <c r="AD644" s="18">
        <f t="shared" si="98"/>
        <v>1.8079797336541676E-4</v>
      </c>
      <c r="AE644" s="9">
        <v>93.3</v>
      </c>
      <c r="AF644" s="10">
        <v>85.7</v>
      </c>
      <c r="AG644" s="10">
        <v>60.8</v>
      </c>
      <c r="AH644" s="10">
        <v>91</v>
      </c>
      <c r="AI644" s="10">
        <v>89.5</v>
      </c>
      <c r="AJ644" s="10">
        <v>89.9</v>
      </c>
      <c r="AK644" s="11">
        <v>51004.427170000003</v>
      </c>
      <c r="AL644" s="11">
        <v>71.157528999999997</v>
      </c>
      <c r="AM644" s="11">
        <v>4571.4648269999998</v>
      </c>
      <c r="AN644" s="11">
        <v>12.2</v>
      </c>
      <c r="AO644" s="11">
        <v>84.152000000000001</v>
      </c>
      <c r="AP644" s="19">
        <v>0.16084782</v>
      </c>
    </row>
    <row r="645" spans="2:42">
      <c r="B645" t="s">
        <v>173</v>
      </c>
      <c r="C645" t="s">
        <v>174</v>
      </c>
      <c r="D645" t="s">
        <v>175</v>
      </c>
      <c r="E645" t="s">
        <v>35</v>
      </c>
      <c r="F645" t="s">
        <v>36</v>
      </c>
      <c r="G645" t="s">
        <v>37</v>
      </c>
      <c r="H645" t="s">
        <v>38</v>
      </c>
      <c r="I645" t="s">
        <v>39</v>
      </c>
      <c r="J645" t="s">
        <v>40</v>
      </c>
      <c r="K645">
        <v>2021</v>
      </c>
      <c r="L645">
        <v>7.6331336536427194E-2</v>
      </c>
      <c r="M645" s="17">
        <v>28.2491004</v>
      </c>
      <c r="N645" s="7">
        <f t="shared" si="90"/>
        <v>8.0641789458339389E-3</v>
      </c>
      <c r="O645" s="8">
        <v>5.5974478760000004</v>
      </c>
      <c r="P645" s="8">
        <f t="shared" si="91"/>
        <v>1.5978852661815064E-3</v>
      </c>
      <c r="Q645" s="8">
        <v>1.8393854999999999</v>
      </c>
      <c r="R645" s="8">
        <f t="shared" si="92"/>
        <v>5.2508340486383178E-4</v>
      </c>
      <c r="S645" s="8">
        <v>4.0557993520000002</v>
      </c>
      <c r="T645" s="8">
        <f t="shared" si="93"/>
        <v>1.1577958688881057E-3</v>
      </c>
      <c r="U645" s="8">
        <v>6.9608946000000005E-2</v>
      </c>
      <c r="V645" s="8">
        <f t="shared" si="94"/>
        <v>1.9871039743796287E-5</v>
      </c>
      <c r="W645" s="8">
        <v>5.1858299999999998E-4</v>
      </c>
      <c r="X645" s="8">
        <f t="shared" si="95"/>
        <v>5.6725211799576968E-9</v>
      </c>
      <c r="Y645" s="8"/>
      <c r="Z645" s="8">
        <f t="shared" si="96"/>
        <v>0</v>
      </c>
      <c r="AA645" s="8">
        <v>1.5820733999999999E-2</v>
      </c>
      <c r="AB645" s="8">
        <f t="shared" si="97"/>
        <v>4.5162935535617676E-6</v>
      </c>
      <c r="AC645" s="8">
        <v>0.89350898199999995</v>
      </c>
      <c r="AD645" s="18">
        <f t="shared" si="98"/>
        <v>2.5506710721867501E-4</v>
      </c>
      <c r="AE645" s="9">
        <v>25.7</v>
      </c>
      <c r="AF645" s="10">
        <v>18.100000000000001</v>
      </c>
      <c r="AG645" s="10">
        <v>48.6</v>
      </c>
      <c r="AH645" s="10">
        <v>32.4</v>
      </c>
      <c r="AI645" s="10">
        <v>30</v>
      </c>
      <c r="AJ645" s="10">
        <v>35.299999999999997</v>
      </c>
      <c r="AK645" s="11">
        <v>3503.0349139999998</v>
      </c>
      <c r="AL645" s="11">
        <v>32.067958900000001</v>
      </c>
      <c r="AM645" s="11">
        <v>674.36569199999997</v>
      </c>
      <c r="AN645" s="11">
        <v>83</v>
      </c>
      <c r="AO645" s="11">
        <v>45.192</v>
      </c>
      <c r="AP645" s="19">
        <v>1.7840784599999999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Hartanto, Riska Putri</dc:creator>
  <cp:lastModifiedBy>Juli Yandi Rahman</cp:lastModifiedBy>
  <dcterms:created xsi:type="dcterms:W3CDTF">2025-07-22T06:19:37Z</dcterms:created>
  <dcterms:modified xsi:type="dcterms:W3CDTF">2025-07-29T12:41:11Z</dcterms:modified>
</cp:coreProperties>
</file>